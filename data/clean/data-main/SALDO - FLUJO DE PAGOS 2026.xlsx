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aykel Blas\OneDrive\Desktop\"/>
    </mc:Choice>
  </mc:AlternateContent>
  <xr:revisionPtr revIDLastSave="0" documentId="13_ncr:1_{2F35BF68-D045-4809-B774-7C37C22E3BF9}" xr6:coauthVersionLast="47" xr6:coauthVersionMax="47" xr10:uidLastSave="{00000000-0000-0000-0000-000000000000}"/>
  <bookViews>
    <workbookView xWindow="-110" yWindow="-110" windowWidth="19420" windowHeight="10300" tabRatio="781" xr2:uid="{00000000-000D-0000-FFFF-FFFF00000000}"/>
  </bookViews>
  <sheets>
    <sheet name="SALDOS" sheetId="9" r:id="rId1"/>
    <sheet name="DATA ORIGINAL" sheetId="6" r:id="rId2"/>
    <sheet name="DASHBOARD PAGOS" sheetId="8" r:id="rId3"/>
    <sheet name="DATA TABLA" sheetId="7" r:id="rId4"/>
  </sheets>
  <definedNames>
    <definedName name="_xlnm._FilterDatabase" localSheetId="1" hidden="1">'DATA ORIGINAL'!$A$3:$M$173</definedName>
    <definedName name="NativeTimeline_Fecha_de_Vencimiento">#N/A</definedName>
    <definedName name="SegmentaciónDeDatos_ACEPTANTE">#N/A</definedName>
    <definedName name="SegmentaciónDeDatos_CONDICION_DEUDA">#N/A</definedName>
    <definedName name="SegmentaciónDeDatos_GIRADOR">#N/A</definedName>
    <definedName name="SegmentaciónDeDatos_PRODUCTO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0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" i="6" l="1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4" i="6"/>
  <c r="D20" i="9"/>
  <c r="G14" i="9"/>
  <c r="A2" i="6"/>
  <c r="N29" i="9" l="1"/>
  <c r="H6" i="9" l="1"/>
  <c r="G116" i="6" l="1"/>
  <c r="M116" i="6" s="1"/>
  <c r="G174" i="6" l="1"/>
  <c r="H15" i="9" l="1"/>
  <c r="H5" i="9"/>
  <c r="H14" i="9"/>
  <c r="H20" i="9"/>
  <c r="B1" i="6"/>
  <c r="F35" i="6" s="1"/>
  <c r="AA6" i="9"/>
  <c r="AA9" i="9" s="1"/>
  <c r="H2" i="9"/>
  <c r="P5" i="9"/>
  <c r="P6" i="9"/>
  <c r="H7" i="9"/>
  <c r="P7" i="9"/>
  <c r="H8" i="9"/>
  <c r="P8" i="9"/>
  <c r="P14" i="9"/>
  <c r="P15" i="9"/>
  <c r="P20" i="9"/>
  <c r="H21" i="9"/>
  <c r="P21" i="9"/>
  <c r="N28" i="9"/>
  <c r="O29" i="9" s="1"/>
  <c r="F47" i="9"/>
  <c r="F48" i="9"/>
  <c r="D50" i="9"/>
  <c r="E50" i="9"/>
  <c r="E52" i="9" s="1"/>
  <c r="F52" i="9" s="1"/>
  <c r="AD6" i="9"/>
  <c r="Z9" i="9"/>
  <c r="U8" i="9"/>
  <c r="T9" i="9" s="1"/>
  <c r="T15" i="9"/>
  <c r="V14" i="9"/>
  <c r="V13" i="9"/>
  <c r="V15" i="9" s="1"/>
  <c r="AB7" i="9"/>
  <c r="U20" i="9"/>
  <c r="V6" i="9"/>
  <c r="V7" i="9"/>
  <c r="V20" i="9" s="1"/>
  <c r="T20" i="9"/>
  <c r="F31" i="6" l="1"/>
  <c r="F32" i="6"/>
  <c r="F74" i="6"/>
  <c r="F77" i="6"/>
  <c r="F75" i="6"/>
  <c r="F76" i="6"/>
  <c r="F107" i="6"/>
  <c r="F78" i="6"/>
  <c r="F101" i="6"/>
  <c r="F103" i="6"/>
  <c r="F102" i="6"/>
  <c r="F104" i="6"/>
  <c r="F20" i="6"/>
  <c r="F105" i="6"/>
  <c r="F160" i="6"/>
  <c r="F159" i="6"/>
  <c r="F149" i="6"/>
  <c r="F148" i="6"/>
  <c r="F143" i="6"/>
  <c r="F142" i="6"/>
  <c r="F136" i="6"/>
  <c r="F135" i="6"/>
  <c r="F128" i="6"/>
  <c r="F127" i="6"/>
  <c r="F120" i="6"/>
  <c r="F119" i="6"/>
  <c r="F109" i="6"/>
  <c r="F108" i="6"/>
  <c r="F53" i="6"/>
  <c r="F82" i="6"/>
  <c r="F81" i="6"/>
  <c r="F106" i="6"/>
  <c r="F52" i="6"/>
  <c r="F18" i="6"/>
  <c r="F47" i="6"/>
  <c r="F30" i="6"/>
  <c r="F95" i="6"/>
  <c r="F29" i="6"/>
  <c r="F28" i="6"/>
  <c r="F67" i="6"/>
  <c r="F94" i="6"/>
  <c r="F87" i="6"/>
  <c r="F113" i="6"/>
  <c r="F114" i="6"/>
  <c r="F112" i="6"/>
  <c r="F111" i="6"/>
  <c r="F85" i="6"/>
  <c r="F86" i="6"/>
  <c r="F91" i="6"/>
  <c r="F89" i="6"/>
  <c r="F88" i="6"/>
  <c r="F90" i="6"/>
  <c r="F17" i="6"/>
  <c r="F93" i="6"/>
  <c r="F36" i="6"/>
  <c r="F158" i="6"/>
  <c r="F99" i="6"/>
  <c r="F134" i="6"/>
  <c r="F157" i="6"/>
  <c r="F98" i="6"/>
  <c r="F133" i="6"/>
  <c r="F60" i="6"/>
  <c r="F80" i="6"/>
  <c r="F92" i="6"/>
  <c r="F166" i="6"/>
  <c r="F68" i="6"/>
  <c r="F152" i="6"/>
  <c r="F154" i="6"/>
  <c r="F123" i="6"/>
  <c r="F137" i="6"/>
  <c r="F153" i="6"/>
  <c r="F34" i="6"/>
  <c r="F38" i="6"/>
  <c r="F16" i="6"/>
  <c r="F66" i="6"/>
  <c r="F64" i="6"/>
  <c r="F65" i="6"/>
  <c r="F61" i="6"/>
  <c r="F26" i="6"/>
  <c r="F27" i="6"/>
  <c r="F59" i="6"/>
  <c r="H12" i="9"/>
  <c r="F84" i="6"/>
  <c r="F124" i="6"/>
  <c r="F62" i="6"/>
  <c r="F165" i="6"/>
  <c r="F167" i="6"/>
  <c r="F151" i="6"/>
  <c r="F162" i="6"/>
  <c r="F139" i="6"/>
  <c r="F145" i="6"/>
  <c r="F130" i="6"/>
  <c r="F140" i="6"/>
  <c r="F115" i="6"/>
  <c r="F122" i="6"/>
  <c r="F96" i="6"/>
  <c r="F79" i="6"/>
  <c r="F51" i="6"/>
  <c r="F49" i="6"/>
  <c r="F50" i="6"/>
  <c r="F48" i="6"/>
  <c r="F42" i="6"/>
  <c r="F21" i="6"/>
  <c r="F37" i="6"/>
  <c r="F33" i="6"/>
  <c r="F57" i="6"/>
  <c r="F56" i="6"/>
  <c r="F58" i="6"/>
  <c r="F55" i="6"/>
  <c r="F22" i="6"/>
  <c r="F24" i="6"/>
  <c r="F23" i="6"/>
  <c r="F25" i="6"/>
  <c r="F63" i="6"/>
  <c r="F71" i="6"/>
  <c r="F116" i="6"/>
  <c r="F50" i="9"/>
  <c r="AB6" i="9"/>
  <c r="AB9" i="9" s="1"/>
  <c r="U22" i="9"/>
  <c r="V22" i="9" s="1"/>
  <c r="AA18" i="9" s="1"/>
  <c r="F41" i="6"/>
  <c r="F161" i="6"/>
  <c r="F150" i="6"/>
  <c r="F144" i="6"/>
  <c r="F138" i="6"/>
  <c r="F129" i="6"/>
  <c r="F121" i="6"/>
  <c r="F110" i="6"/>
  <c r="F83" i="6"/>
  <c r="F54" i="6"/>
  <c r="P12" i="9"/>
  <c r="P18" i="9"/>
  <c r="P9" i="9"/>
  <c r="H18" i="9"/>
  <c r="H9" i="9"/>
  <c r="F8" i="6"/>
  <c r="F163" i="6"/>
  <c r="F155" i="6"/>
  <c r="F39" i="6"/>
  <c r="F14" i="6"/>
  <c r="F132" i="6"/>
  <c r="F69" i="6"/>
  <c r="F156" i="6"/>
  <c r="F40" i="6"/>
  <c r="F72" i="6"/>
  <c r="F11" i="6"/>
  <c r="F4" i="6"/>
  <c r="F147" i="6"/>
  <c r="F117" i="6"/>
  <c r="F13" i="6"/>
  <c r="F168" i="6"/>
  <c r="F100" i="6"/>
  <c r="F19" i="6"/>
  <c r="F97" i="6"/>
  <c r="F15" i="6"/>
  <c r="F164" i="6"/>
  <c r="F131" i="6"/>
  <c r="F6" i="6"/>
  <c r="F171" i="6"/>
  <c r="F126" i="6"/>
  <c r="F125" i="6"/>
  <c r="F73" i="6"/>
  <c r="F170" i="6"/>
  <c r="F118" i="6"/>
  <c r="F146" i="6"/>
  <c r="F10" i="6"/>
  <c r="F172" i="6"/>
  <c r="F70" i="6"/>
  <c r="F5" i="6"/>
  <c r="F7" i="6"/>
  <c r="F169" i="6"/>
  <c r="F141" i="6"/>
  <c r="F12" i="6"/>
  <c r="F9" i="6"/>
  <c r="P24" i="9" l="1"/>
  <c r="K31" i="9"/>
  <c r="N31" i="9" s="1"/>
  <c r="N33" i="9" s="1"/>
  <c r="O33" i="9" s="1"/>
  <c r="H24" i="9"/>
  <c r="B2" i="6"/>
  <c r="M174" i="6"/>
</calcChain>
</file>

<file path=xl/sharedStrings.xml><?xml version="1.0" encoding="utf-8"?>
<sst xmlns="http://schemas.openxmlformats.org/spreadsheetml/2006/main" count="1366" uniqueCount="287">
  <si>
    <t>GRUPO ISD</t>
  </si>
  <si>
    <t>SOLES</t>
  </si>
  <si>
    <t>DOLARES</t>
  </si>
  <si>
    <t>BCP</t>
  </si>
  <si>
    <t>BBVA</t>
  </si>
  <si>
    <t>T/C</t>
  </si>
  <si>
    <t>GIRADOR</t>
  </si>
  <si>
    <t>Fecha de Vencimiento</t>
  </si>
  <si>
    <t>DIAS VENCIDOS</t>
  </si>
  <si>
    <t>MONEDA</t>
  </si>
  <si>
    <t>BANCO</t>
  </si>
  <si>
    <t>CONDICION DEUDA</t>
  </si>
  <si>
    <t>FP</t>
  </si>
  <si>
    <t>SCOTIABANK</t>
  </si>
  <si>
    <t>PLANILLA - HABERES</t>
  </si>
  <si>
    <t>PLANILLA</t>
  </si>
  <si>
    <t>SERVICIOS GRAFICOS FA EIRL</t>
  </si>
  <si>
    <t>COINDUSTRIA SRLTDA</t>
  </si>
  <si>
    <t>PRESTAMO LARGO PLAZO BCP</t>
  </si>
  <si>
    <t>MALBEZ S.R.LTDA</t>
  </si>
  <si>
    <t>EUROGROUP S.A.C.</t>
  </si>
  <si>
    <t>Etiquetas de fila</t>
  </si>
  <si>
    <t>Total general</t>
  </si>
  <si>
    <t>POLIOL</t>
  </si>
  <si>
    <t>BRENNTAG PERU SAC</t>
  </si>
  <si>
    <t>PRODUCTO</t>
  </si>
  <si>
    <t>ALQUILER HCC</t>
  </si>
  <si>
    <t>DEUDA BANCOS</t>
  </si>
  <si>
    <t>ADITIVOS</t>
  </si>
  <si>
    <t>HILOS</t>
  </si>
  <si>
    <t>MANGAS</t>
  </si>
  <si>
    <t>IMPUESTOS</t>
  </si>
  <si>
    <t>ALAMBRE</t>
  </si>
  <si>
    <t>GRAPAS</t>
  </si>
  <si>
    <t>NOTEX</t>
  </si>
  <si>
    <t>ETIQUETAS</t>
  </si>
  <si>
    <t>Suma de DOLARES</t>
  </si>
  <si>
    <t>POR ENVIAR</t>
  </si>
  <si>
    <t>PENDIENTE DE PAGO</t>
  </si>
  <si>
    <t>SILICONA</t>
  </si>
  <si>
    <t>ISD</t>
  </si>
  <si>
    <t>BLACK</t>
  </si>
  <si>
    <t>AMERIX PERUANA S.A.C.</t>
  </si>
  <si>
    <t>CUOTA 15 DE 24</t>
  </si>
  <si>
    <t>CUOTA 16 DE 24</t>
  </si>
  <si>
    <t>NOVA SÜNGER  / INVERSIONES DREAM TEAM EIRL</t>
  </si>
  <si>
    <t>PAGARE IMPORTACION / BCP</t>
  </si>
  <si>
    <t>COMISIONES</t>
  </si>
  <si>
    <t>CUOTA 17 DE 24</t>
  </si>
  <si>
    <t>CUOTA 18 DE 24</t>
  </si>
  <si>
    <t>CUOTA 19 DE 24</t>
  </si>
  <si>
    <t>COPOLIMERO</t>
  </si>
  <si>
    <t>CORPORACION JES-NAZ EIRL</t>
  </si>
  <si>
    <t>NEF 2022001203</t>
  </si>
  <si>
    <t>CUOTA 20 DE 24</t>
  </si>
  <si>
    <t>CUOTA 21 DE 24</t>
  </si>
  <si>
    <t>CUOTA 22 DE 24</t>
  </si>
  <si>
    <t>CUOTA 23 DE 24</t>
  </si>
  <si>
    <t>CUOTA 24 DE 24</t>
  </si>
  <si>
    <t>NEF20220001297</t>
  </si>
  <si>
    <t>COLCHONES VIVE</t>
  </si>
  <si>
    <t xml:space="preserve">SALDOS BANCOS </t>
  </si>
  <si>
    <t>SALDO 
INICIAL</t>
  </si>
  <si>
    <t>LETRAS X 
INGRESAR</t>
  </si>
  <si>
    <t>LETRAS X 
PAGAR</t>
  </si>
  <si>
    <t>CHEQUES X PAGAR</t>
  </si>
  <si>
    <t>INGRESO X 
TRANSFERENCIA</t>
  </si>
  <si>
    <t>SALIDA X 
TRANSFERENCIA</t>
  </si>
  <si>
    <t>TOTAL SALDO 
FINAL</t>
  </si>
  <si>
    <t>CAJA PIURA</t>
  </si>
  <si>
    <t>UTILIZADO</t>
  </si>
  <si>
    <t>TOTALES ISD</t>
  </si>
  <si>
    <t>TOTAL DREAM T</t>
  </si>
  <si>
    <t>TOTAL EMPRESAS</t>
  </si>
  <si>
    <t>GRUPO ISD INDUSTRIAL SAC</t>
  </si>
  <si>
    <t>RUC: 20601520231</t>
  </si>
  <si>
    <t xml:space="preserve">T.C </t>
  </si>
  <si>
    <t>BANCOS</t>
  </si>
  <si>
    <t>ANTHONY</t>
  </si>
  <si>
    <t>BANCO BCP</t>
  </si>
  <si>
    <t>191-2514752-0-34</t>
  </si>
  <si>
    <t>191-2504862-1-45</t>
  </si>
  <si>
    <t>BANCO BBVA CONTINENTAL</t>
  </si>
  <si>
    <t>0011-0193-01-00031478</t>
  </si>
  <si>
    <t>0011-0193-01-00031486</t>
  </si>
  <si>
    <t>TODOS SOLES</t>
  </si>
  <si>
    <t>S/  A  $</t>
  </si>
  <si>
    <t>TOTAL $</t>
  </si>
  <si>
    <t>DREAM TEAM</t>
  </si>
  <si>
    <t xml:space="preserve">TOTAL DINERO </t>
  </si>
  <si>
    <t>DESCRIPCION</t>
  </si>
  <si>
    <t>LINEAS</t>
  </si>
  <si>
    <t>SALDO</t>
  </si>
  <si>
    <t>LINEAS DE CREDITO BCP</t>
  </si>
  <si>
    <t>DESCUENTO LETRAS Y FACTURAS</t>
  </si>
  <si>
    <t>PAGARÉ DE IMPORTACION</t>
  </si>
  <si>
    <t>TOTALES</t>
  </si>
  <si>
    <t>LINEA REAL</t>
  </si>
  <si>
    <t>SALDO REAL PARA UTILIZAR</t>
  </si>
  <si>
    <t>POR ACEPTAR</t>
  </si>
  <si>
    <t>ACEPTANTE</t>
  </si>
  <si>
    <t>VENCIO 19/12</t>
  </si>
  <si>
    <t>VENCIO 08/01/23</t>
  </si>
  <si>
    <t>TREFILERIA QUILLAY SAC</t>
  </si>
  <si>
    <t>INVERSIONES DREAM TEAM</t>
  </si>
  <si>
    <t>RUC: 2060090987</t>
  </si>
  <si>
    <t>0011-0312-01-00036157</t>
  </si>
  <si>
    <t>IMPUESTOS PLANILLA</t>
  </si>
  <si>
    <t>PABILO</t>
  </si>
  <si>
    <t>IGV IMPUESTOS</t>
  </si>
  <si>
    <t>Etiquetas de columna</t>
  </si>
  <si>
    <t>HUANCAYO</t>
  </si>
  <si>
    <t>NUMERO UNICO</t>
  </si>
  <si>
    <t>INTERNET</t>
  </si>
  <si>
    <t>VIVE</t>
  </si>
  <si>
    <t xml:space="preserve">ONYX INTERNATIONAL SAC / S&amp;M </t>
  </si>
  <si>
    <t xml:space="preserve"> </t>
  </si>
  <si>
    <t>TOTAL LINEA DISPOBIBLE EN LOS DOS BANCOS</t>
  </si>
  <si>
    <t>CUOTA 02 DE 04</t>
  </si>
  <si>
    <t>CUOTA 03 DE 04</t>
  </si>
  <si>
    <t>CUOTA 04 DE 04</t>
  </si>
  <si>
    <t>SALDO REAL PARA UTILIZAR BANCO BCP</t>
  </si>
  <si>
    <t>LINEA DISPONIBLE</t>
  </si>
  <si>
    <t>EN BBVA</t>
  </si>
  <si>
    <t>GRUPO CASAMAT E.I.R.L.</t>
  </si>
  <si>
    <t>ALQUILERES IMPUESTOS</t>
  </si>
  <si>
    <t>PRESTAMO BCP / 90K + 13.509 INTERES</t>
  </si>
  <si>
    <t>Nº LETRA - FACT</t>
  </si>
  <si>
    <t>IMPORTE</t>
  </si>
  <si>
    <t>IRIS SOLEDAD DE LA CRUZ / TERRENO - CASA</t>
  </si>
  <si>
    <t>IRIS SOLEDAD</t>
  </si>
  <si>
    <t>LT 09-24</t>
  </si>
  <si>
    <t>LT 10-24</t>
  </si>
  <si>
    <t>LT 11-24</t>
  </si>
  <si>
    <t>LT 12-24</t>
  </si>
  <si>
    <t>LT 01 - 25</t>
  </si>
  <si>
    <t>LT 02-25</t>
  </si>
  <si>
    <t>LT 03-25</t>
  </si>
  <si>
    <t>LT 04-25</t>
  </si>
  <si>
    <t>LT 05-25</t>
  </si>
  <si>
    <t>SAT - LIMA</t>
  </si>
  <si>
    <t>BML-739</t>
  </si>
  <si>
    <t>CHP-029</t>
  </si>
  <si>
    <t>AGOSTO PERIODO</t>
  </si>
  <si>
    <t>PRESTAMO - IMPULSO PERU / BBVA</t>
  </si>
  <si>
    <t>SOAT</t>
  </si>
  <si>
    <t>F1Q-842</t>
  </si>
  <si>
    <t>VENCE 25/07</t>
  </si>
  <si>
    <t>D1Y-757</t>
  </si>
  <si>
    <t>D2B-746</t>
  </si>
  <si>
    <t>VENCE 12/02</t>
  </si>
  <si>
    <t>CLP-464</t>
  </si>
  <si>
    <t>C3S-910</t>
  </si>
  <si>
    <t>VENCE 29/11</t>
  </si>
  <si>
    <t>LINEAS DE CREDITO BCP / ISD</t>
  </si>
  <si>
    <t>LINEAS DE CREDITO BCP / VIVE</t>
  </si>
  <si>
    <t>TOTAL A USAR</t>
  </si>
  <si>
    <t xml:space="preserve">SALDO </t>
  </si>
  <si>
    <t>PRESTAMOS BCP / DES 30/12/24 - 200,700K</t>
  </si>
  <si>
    <t>TASA 15%</t>
  </si>
  <si>
    <t>LINEAS DE CREDITO BBVA / ISD</t>
  </si>
  <si>
    <t>TASA 13.54%</t>
  </si>
  <si>
    <t>TASA 8.9%</t>
  </si>
  <si>
    <t>CUOTA 70 DE 114</t>
  </si>
  <si>
    <t>CUOTA 71 DE 114</t>
  </si>
  <si>
    <t>CUOTA 72 DE 114</t>
  </si>
  <si>
    <t>CUOTA 73 DE 114</t>
  </si>
  <si>
    <t>CUOTA 74 DE 114</t>
  </si>
  <si>
    <t>CUOTA 75 DE 114</t>
  </si>
  <si>
    <t>CUOTA 76 DE 114</t>
  </si>
  <si>
    <t>CUOTA 77 DE 114</t>
  </si>
  <si>
    <t>CUOTA 78 DE 114</t>
  </si>
  <si>
    <t>CUOTA 79 DE 114</t>
  </si>
  <si>
    <t>LT 06-25</t>
  </si>
  <si>
    <t>LT 07-25</t>
  </si>
  <si>
    <t>LT 08-25</t>
  </si>
  <si>
    <t>OTROS</t>
  </si>
  <si>
    <t>FEBRERO PERIODO</t>
  </si>
  <si>
    <t>EFACT SAC</t>
  </si>
  <si>
    <t>EFACT</t>
  </si>
  <si>
    <t>SISAL Y CINTAS</t>
  </si>
  <si>
    <t>ENTEL</t>
  </si>
  <si>
    <t>PRESTAMOS BBVA / DANIEL - TERRENO NUEVO</t>
  </si>
  <si>
    <t>TASA 7.2%</t>
  </si>
  <si>
    <t>CUOTA 16 DE 180</t>
  </si>
  <si>
    <t>CUOTA 17 DE 180</t>
  </si>
  <si>
    <t>CUOTA 18 DE 180</t>
  </si>
  <si>
    <t>CUOTA 19 DE 180</t>
  </si>
  <si>
    <t>CUOTA 20 DE 180</t>
  </si>
  <si>
    <t>CUOTA 21 DE 180</t>
  </si>
  <si>
    <t>CUOTA 22 DE 180</t>
  </si>
  <si>
    <t>CUOTA 23 DE 180</t>
  </si>
  <si>
    <t>CUOTA 24 DE 180</t>
  </si>
  <si>
    <t>ABRIL PERIODO</t>
  </si>
  <si>
    <t>MAYO PERIODO</t>
  </si>
  <si>
    <t>PAGARE</t>
  </si>
  <si>
    <t>IMPORTADORA MASTER SAC / VEDONA</t>
  </si>
  <si>
    <t>TASA 15.19%</t>
  </si>
  <si>
    <t>GUANGZHOU HONGDI NEW MATERIAL CO. LTD</t>
  </si>
  <si>
    <t>SETIEMBRE PERIODO</t>
  </si>
  <si>
    <t>RENTA SUNAT</t>
  </si>
  <si>
    <t>CUOTA 22 DE 33</t>
  </si>
  <si>
    <t>CUOTA 23 DE 33</t>
  </si>
  <si>
    <t>POCKET</t>
  </si>
  <si>
    <t>ETA 20/01</t>
  </si>
  <si>
    <t>LT 10292-11-00</t>
  </si>
  <si>
    <t>LT 1172</t>
  </si>
  <si>
    <t>INVOICE CNW2510AB</t>
  </si>
  <si>
    <t>LT 1908</t>
  </si>
  <si>
    <t>FACT E001-2654</t>
  </si>
  <si>
    <t>LT 7653</t>
  </si>
  <si>
    <t>LT 7654</t>
  </si>
  <si>
    <t>DESEMBOLSO 180K 07/01/26</t>
  </si>
  <si>
    <t>COMISIONES VENTAS</t>
  </si>
  <si>
    <t>TASA 8.95%</t>
  </si>
  <si>
    <t>DESEMBOLSO 100K 09/04 - 2 CUO</t>
  </si>
  <si>
    <t>CUOTA 02 DE 02</t>
  </si>
  <si>
    <t>CUOTA 01 DE 02</t>
  </si>
  <si>
    <t>CUOTA 24 DE 33</t>
  </si>
  <si>
    <t>CUOTA 25 DE 33</t>
  </si>
  <si>
    <t>CUOTA 26 DE 33</t>
  </si>
  <si>
    <t>CUOTA 27 DE 33</t>
  </si>
  <si>
    <t>CUOTA 28 DE 33</t>
  </si>
  <si>
    <t>CUOTA 29 DE 33</t>
  </si>
  <si>
    <t>CUOTA 30 DE 33</t>
  </si>
  <si>
    <t>CUOTA 31 DE 33</t>
  </si>
  <si>
    <t>CUOTA 32 DE 33</t>
  </si>
  <si>
    <t>CUOTA 33 DE 33</t>
  </si>
  <si>
    <t>LAUREANO ROQUE SAC</t>
  </si>
  <si>
    <t>LT 0001177</t>
  </si>
  <si>
    <t>LT 0001178</t>
  </si>
  <si>
    <t>LT 10402-11-0</t>
  </si>
  <si>
    <t>VIGILANCIA</t>
  </si>
  <si>
    <t>LT 129</t>
  </si>
  <si>
    <t>LT 0126</t>
  </si>
  <si>
    <t>LT 2026/-002</t>
  </si>
  <si>
    <t>LT 7666</t>
  </si>
  <si>
    <t>LT 7665</t>
  </si>
  <si>
    <t>LT 10420-11-00</t>
  </si>
  <si>
    <t>FACT F001-86999</t>
  </si>
  <si>
    <t>FACT F002-232</t>
  </si>
  <si>
    <t>PASTAS</t>
  </si>
  <si>
    <t>;010336226</t>
  </si>
  <si>
    <t>;010336227</t>
  </si>
  <si>
    <t>SOCTIABANK</t>
  </si>
  <si>
    <t>APLAZADO</t>
  </si>
  <si>
    <t>Mar</t>
  </si>
  <si>
    <t>Total Mar</t>
  </si>
  <si>
    <t>Abr</t>
  </si>
  <si>
    <t>Total Abr</t>
  </si>
  <si>
    <t>FACT E001-1775</t>
  </si>
  <si>
    <t>CINTAS</t>
  </si>
  <si>
    <t>VENCE 28/11</t>
  </si>
  <si>
    <t>VENCE 06/09</t>
  </si>
  <si>
    <t>VENCE 27/04</t>
  </si>
  <si>
    <t>VENCE 26/11</t>
  </si>
  <si>
    <t>LT 2026/007</t>
  </si>
  <si>
    <t>LT 10475-11-00</t>
  </si>
  <si>
    <t>LT 130</t>
  </si>
  <si>
    <t>LT 7686</t>
  </si>
  <si>
    <t>730_7238_3</t>
  </si>
  <si>
    <t>734_2223_5</t>
  </si>
  <si>
    <t>730_2998_6</t>
  </si>
  <si>
    <t>734_1483_5</t>
  </si>
  <si>
    <t>732_3669_9</t>
  </si>
  <si>
    <t>CTS</t>
  </si>
  <si>
    <t>CTS - HABERES</t>
  </si>
  <si>
    <t>25NOV - 26ABR</t>
  </si>
  <si>
    <t>May</t>
  </si>
  <si>
    <t>Total May</t>
  </si>
  <si>
    <t>LT PP26-0200</t>
  </si>
  <si>
    <t>PORTLAND SAC</t>
  </si>
  <si>
    <t>VISCOLASTICA POLIOL</t>
  </si>
  <si>
    <t>..0562601268</t>
  </si>
  <si>
    <t>..0562601267</t>
  </si>
  <si>
    <t>FACTURA F001-87797</t>
  </si>
  <si>
    <t>LT 10487-11-00</t>
  </si>
  <si>
    <t>FACTURA E001-178</t>
  </si>
  <si>
    <t>LT 1253</t>
  </si>
  <si>
    <t>OCTOATO</t>
  </si>
  <si>
    <t>LT 1254</t>
  </si>
  <si>
    <t>FACT F002-194079</t>
  </si>
  <si>
    <t>LT / 2026-010</t>
  </si>
  <si>
    <t>LT 1255</t>
  </si>
  <si>
    <t>LT 0526</t>
  </si>
  <si>
    <t>Jun</t>
  </si>
  <si>
    <t>Total 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</si>
</sst>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7" formatCode="&quot;S/&quot;\ #,##0.00;\-&quot;S/&quot;\ #,##0.00"/>
    <numFmt numFmtId="44" formatCode="_-&quot;S/&quot;\ * #,##0.00_-;\-&quot;S/&quot;\ * #,##0.00_-;_-&quot;S/&quot;\ * &quot;-&quot;??_-;_-@_-"/>
    <numFmt numFmtId="43" formatCode="_-* #,##0.00_-;\-* #,##0.00_-;_-* &quot;-&quot;??_-;_-@_-"/>
    <numFmt numFmtId="164" formatCode="_-&quot;S/&quot;* #,##0.00_-;\-&quot;S/&quot;* #,##0.00_-;_-&quot;S/&quot;* &quot;-&quot;??_-;_-@_-"/>
    <numFmt numFmtId="165" formatCode="_ &quot;S/.&quot;\ * #,##0.00_ ;_ &quot;S/.&quot;\ * \-#,##0.00_ ;_ &quot;S/.&quot;\ * &quot;-&quot;??_ ;_ @_ "/>
    <numFmt numFmtId="166" formatCode="_-[$$-300A]\ * #,##0.00_ ;_-[$$-300A]\ * \-#,##0.00\ ;_-[$$-300A]\ * &quot;-&quot;??_ ;_-@_ "/>
    <numFmt numFmtId="167" formatCode="[$$-300A]#,##0.00"/>
    <numFmt numFmtId="168" formatCode="_-[$$-300A]\ * #,##0.000_ ;_-[$$-300A]\ * \-#,##0.000\ ;_-[$$-300A]\ * &quot;-&quot;??_ ;_-@_ "/>
    <numFmt numFmtId="169" formatCode="[$$-300A]#,##0.00;[$$-300A]\-#,##0.00"/>
    <numFmt numFmtId="170" formatCode="_-* #,##0.000_-;\-* #,##0.000_-;_-* &quot;-&quot;???_-;_-@_-"/>
    <numFmt numFmtId="171" formatCode="_-* #,##0.000_-;\-* #,##0.000_-;_-* &quot;-&quot;??_-;_-@_-"/>
    <numFmt numFmtId="172" formatCode="_-&quot;S/&quot;* #,##0.0000_-;\-&quot;S/&quot;* #,##0.0000_-;_-&quot;S/&quot;* &quot;-&quot;??_-;_-@_-"/>
    <numFmt numFmtId="173" formatCode="_-* #,##0.0000_-;\-* #,##0.0000_-;_-* &quot;-&quot;??_-;_-@_-"/>
    <numFmt numFmtId="174" formatCode="_ [$$-300A]* #,##0.00_ ;_ [$$-300A]* \-#,##0.00_ ;_ [$$-300A]* &quot;-&quot;??_ ;_ @_ "/>
    <numFmt numFmtId="175" formatCode="_ &quot;S/.&quot;* #,##0.00_ ;_ &quot;S/.&quot;* \-#,##0.00_ ;_ &quot;S/.&quot;* &quot;-&quot;??_ ;_ @_ "/>
    <numFmt numFmtId="176" formatCode="_-&quot;S/&quot;* #,##0.000_-;\-&quot;S/&quot;* #,##0.000_-;_-&quot;S/&quot;* &quot;-&quot;??_-;_-@_-"/>
    <numFmt numFmtId="177" formatCode="_-&quot;S/&quot;\ * #,##0.000_-;\-&quot;S/&quot;\ * #,##0.000_-;_-&quot;S/&quot;\ * &quot;-&quot;???_-;_-@_-"/>
  </numFmts>
  <fonts count="41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9"/>
      <name val="Arial"/>
      <family val="2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4"/>
      <name val="Calibri"/>
      <family val="2"/>
      <scheme val="minor"/>
    </font>
    <font>
      <b/>
      <u val="singleAccounting"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sz val="12"/>
      <color theme="3"/>
      <name val="Calibri"/>
      <family val="2"/>
      <scheme val="minor"/>
    </font>
    <font>
      <b/>
      <sz val="9"/>
      <color theme="0"/>
      <name val="Arial"/>
      <family val="2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1"/>
      <color rgb="FFFF0000"/>
      <name val="Arial"/>
      <family val="2"/>
    </font>
    <font>
      <b/>
      <sz val="12"/>
      <name val="Calibri"/>
      <family val="2"/>
      <scheme val="minor"/>
    </font>
    <font>
      <sz val="11"/>
      <color indexed="9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7FFBB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FF1CB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7">
    <xf numFmtId="0" fontId="0" fillId="0" borderId="0" xfId="0"/>
    <xf numFmtId="14" fontId="0" fillId="0" borderId="0" xfId="0" applyNumberFormat="1"/>
    <xf numFmtId="0" fontId="0" fillId="4" borderId="0" xfId="0" applyFill="1"/>
    <xf numFmtId="14" fontId="9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1" fillId="5" borderId="2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/>
    </xf>
    <xf numFmtId="0" fontId="10" fillId="0" borderId="1" xfId="0" applyFont="1" applyBorder="1" applyAlignment="1">
      <alignment horizontal="left" wrapText="1"/>
    </xf>
    <xf numFmtId="14" fontId="12" fillId="0" borderId="1" xfId="0" applyNumberFormat="1" applyFont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43" fontId="10" fillId="0" borderId="1" xfId="0" applyNumberFormat="1" applyFont="1" applyBorder="1" applyAlignment="1">
      <alignment horizontal="right" wrapText="1"/>
    </xf>
    <xf numFmtId="0" fontId="1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2" fillId="7" borderId="1" xfId="0" applyFont="1" applyFill="1" applyBorder="1" applyAlignment="1">
      <alignment horizontal="center"/>
    </xf>
    <xf numFmtId="14" fontId="12" fillId="7" borderId="1" xfId="0" applyNumberFormat="1" applyFont="1" applyFill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14" fillId="0" borderId="1" xfId="0" applyFont="1" applyBorder="1" applyAlignment="1">
      <alignment horizontal="left" wrapText="1"/>
    </xf>
    <xf numFmtId="16" fontId="0" fillId="0" borderId="0" xfId="0" applyNumberFormat="1"/>
    <xf numFmtId="1" fontId="19" fillId="0" borderId="1" xfId="0" applyNumberFormat="1" applyFont="1" applyBorder="1" applyAlignment="1">
      <alignment horizontal="center"/>
    </xf>
    <xf numFmtId="0" fontId="0" fillId="10" borderId="0" xfId="0" applyFill="1"/>
    <xf numFmtId="0" fontId="0" fillId="0" borderId="0" xfId="0" applyAlignment="1">
      <alignment horizontal="left" indent="1"/>
    </xf>
    <xf numFmtId="1" fontId="8" fillId="0" borderId="1" xfId="0" applyNumberFormat="1" applyFont="1" applyBorder="1" applyAlignment="1">
      <alignment horizontal="center"/>
    </xf>
    <xf numFmtId="2" fontId="0" fillId="0" borderId="0" xfId="0" applyNumberFormat="1"/>
    <xf numFmtId="0" fontId="12" fillId="3" borderId="1" xfId="0" applyFont="1" applyFill="1" applyBorder="1" applyAlignment="1">
      <alignment horizontal="center"/>
    </xf>
    <xf numFmtId="43" fontId="0" fillId="0" borderId="0" xfId="0" applyNumberFormat="1"/>
    <xf numFmtId="14" fontId="12" fillId="3" borderId="1" xfId="0" applyNumberFormat="1" applyFont="1" applyFill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1" fillId="0" borderId="0" xfId="0" applyFont="1"/>
    <xf numFmtId="16" fontId="21" fillId="0" borderId="1" xfId="0" applyNumberFormat="1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4" fillId="3" borderId="1" xfId="0" applyFont="1" applyFill="1" applyBorder="1" applyAlignment="1">
      <alignment horizontal="left" wrapText="1"/>
    </xf>
    <xf numFmtId="14" fontId="12" fillId="2" borderId="1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left" wrapText="1"/>
    </xf>
    <xf numFmtId="0" fontId="7" fillId="0" borderId="1" xfId="0" applyFont="1" applyBorder="1" applyAlignment="1">
      <alignment horizontal="center"/>
    </xf>
    <xf numFmtId="1" fontId="8" fillId="3" borderId="1" xfId="0" applyNumberFormat="1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 wrapText="1"/>
    </xf>
    <xf numFmtId="43" fontId="15" fillId="4" borderId="1" xfId="0" applyNumberFormat="1" applyFont="1" applyFill="1" applyBorder="1" applyAlignment="1">
      <alignment horizontal="right" wrapText="1"/>
    </xf>
    <xf numFmtId="0" fontId="22" fillId="2" borderId="0" xfId="0" applyFont="1" applyFill="1"/>
    <xf numFmtId="14" fontId="0" fillId="4" borderId="0" xfId="0" applyNumberFormat="1" applyFill="1"/>
    <xf numFmtId="0" fontId="23" fillId="4" borderId="0" xfId="0" applyFont="1" applyFill="1" applyAlignment="1">
      <alignment horizontal="center"/>
    </xf>
    <xf numFmtId="14" fontId="22" fillId="2" borderId="0" xfId="0" applyNumberFormat="1" applyFont="1" applyFill="1"/>
    <xf numFmtId="0" fontId="24" fillId="13" borderId="0" xfId="0" applyFont="1" applyFill="1" applyAlignment="1">
      <alignment horizontal="center"/>
    </xf>
    <xf numFmtId="0" fontId="9" fillId="4" borderId="0" xfId="0" applyFont="1" applyFill="1"/>
    <xf numFmtId="0" fontId="25" fillId="4" borderId="0" xfId="0" applyFont="1" applyFill="1"/>
    <xf numFmtId="0" fontId="22" fillId="0" borderId="6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0" fontId="22" fillId="4" borderId="0" xfId="0" applyFont="1" applyFill="1" applyAlignment="1">
      <alignment horizontal="center"/>
    </xf>
    <xf numFmtId="0" fontId="22" fillId="0" borderId="8" xfId="0" applyFont="1" applyBorder="1"/>
    <xf numFmtId="166" fontId="9" fillId="14" borderId="12" xfId="0" applyNumberFormat="1" applyFont="1" applyFill="1" applyBorder="1"/>
    <xf numFmtId="0" fontId="22" fillId="0" borderId="13" xfId="0" applyFont="1" applyBorder="1"/>
    <xf numFmtId="0" fontId="22" fillId="0" borderId="14" xfId="0" applyFont="1" applyBorder="1"/>
    <xf numFmtId="0" fontId="22" fillId="0" borderId="15" xfId="0" applyFont="1" applyBorder="1"/>
    <xf numFmtId="167" fontId="0" fillId="4" borderId="0" xfId="0" applyNumberFormat="1" applyFill="1" applyAlignment="1">
      <alignment horizontal="center"/>
    </xf>
    <xf numFmtId="0" fontId="23" fillId="3" borderId="0" xfId="0" applyFont="1" applyFill="1"/>
    <xf numFmtId="164" fontId="9" fillId="4" borderId="0" xfId="0" applyNumberFormat="1" applyFont="1" applyFill="1"/>
    <xf numFmtId="168" fontId="9" fillId="4" borderId="0" xfId="0" applyNumberFormat="1" applyFont="1" applyFill="1" applyAlignment="1">
      <alignment horizontal="center"/>
    </xf>
    <xf numFmtId="43" fontId="0" fillId="4" borderId="0" xfId="0" applyNumberFormat="1" applyFill="1"/>
    <xf numFmtId="0" fontId="9" fillId="7" borderId="0" xfId="0" applyFont="1" applyFill="1"/>
    <xf numFmtId="164" fontId="0" fillId="4" borderId="0" xfId="0" applyNumberFormat="1" applyFill="1"/>
    <xf numFmtId="166" fontId="0" fillId="4" borderId="0" xfId="0" applyNumberFormat="1" applyFill="1" applyAlignment="1">
      <alignment horizontal="center"/>
    </xf>
    <xf numFmtId="0" fontId="24" fillId="15" borderId="0" xfId="0" applyFont="1" applyFill="1"/>
    <xf numFmtId="44" fontId="24" fillId="15" borderId="0" xfId="0" applyNumberFormat="1" applyFont="1" applyFill="1"/>
    <xf numFmtId="168" fontId="24" fillId="15" borderId="0" xfId="0" applyNumberFormat="1" applyFont="1" applyFill="1" applyAlignment="1">
      <alignment horizontal="center"/>
    </xf>
    <xf numFmtId="169" fontId="0" fillId="4" borderId="0" xfId="0" applyNumberFormat="1" applyFill="1"/>
    <xf numFmtId="168" fontId="9" fillId="4" borderId="0" xfId="0" applyNumberFormat="1" applyFont="1" applyFill="1"/>
    <xf numFmtId="170" fontId="0" fillId="4" borderId="0" xfId="0" applyNumberFormat="1" applyFill="1"/>
    <xf numFmtId="171" fontId="0" fillId="4" borderId="0" xfId="0" applyNumberFormat="1" applyFill="1"/>
    <xf numFmtId="172" fontId="0" fillId="4" borderId="0" xfId="0" applyNumberFormat="1" applyFill="1"/>
    <xf numFmtId="44" fontId="0" fillId="4" borderId="0" xfId="0" applyNumberFormat="1" applyFill="1"/>
    <xf numFmtId="43" fontId="9" fillId="4" borderId="0" xfId="0" applyNumberFormat="1" applyFont="1" applyFill="1"/>
    <xf numFmtId="173" fontId="0" fillId="4" borderId="0" xfId="0" applyNumberFormat="1" applyFill="1"/>
    <xf numFmtId="43" fontId="29" fillId="4" borderId="0" xfId="0" applyNumberFormat="1" applyFont="1" applyFill="1"/>
    <xf numFmtId="164" fontId="29" fillId="4" borderId="0" xfId="0" applyNumberFormat="1" applyFont="1" applyFill="1"/>
    <xf numFmtId="164" fontId="23" fillId="4" borderId="0" xfId="0" applyNumberFormat="1" applyFont="1" applyFill="1"/>
    <xf numFmtId="166" fontId="9" fillId="14" borderId="1" xfId="0" applyNumberFormat="1" applyFont="1" applyFill="1" applyBorder="1"/>
    <xf numFmtId="174" fontId="0" fillId="4" borderId="0" xfId="0" applyNumberFormat="1" applyFill="1"/>
    <xf numFmtId="166" fontId="9" fillId="7" borderId="12" xfId="0" applyNumberFormat="1" applyFont="1" applyFill="1" applyBorder="1"/>
    <xf numFmtId="175" fontId="24" fillId="16" borderId="17" xfId="0" applyNumberFormat="1" applyFont="1" applyFill="1" applyBorder="1"/>
    <xf numFmtId="16" fontId="0" fillId="4" borderId="0" xfId="0" applyNumberFormat="1" applyFill="1"/>
    <xf numFmtId="0" fontId="9" fillId="4" borderId="17" xfId="0" applyFont="1" applyFill="1" applyBorder="1" applyAlignment="1">
      <alignment horizontal="center"/>
    </xf>
    <xf numFmtId="0" fontId="23" fillId="4" borderId="0" xfId="0" applyFont="1" applyFill="1"/>
    <xf numFmtId="166" fontId="9" fillId="9" borderId="12" xfId="0" applyNumberFormat="1" applyFont="1" applyFill="1" applyBorder="1"/>
    <xf numFmtId="168" fontId="9" fillId="7" borderId="0" xfId="0" applyNumberFormat="1" applyFont="1" applyFill="1" applyAlignment="1">
      <alignment horizontal="center"/>
    </xf>
    <xf numFmtId="166" fontId="9" fillId="17" borderId="12" xfId="0" applyNumberFormat="1" applyFont="1" applyFill="1" applyBorder="1"/>
    <xf numFmtId="0" fontId="9" fillId="18" borderId="0" xfId="0" applyFont="1" applyFill="1"/>
    <xf numFmtId="164" fontId="9" fillId="11" borderId="0" xfId="0" applyNumberFormat="1" applyFont="1" applyFill="1"/>
    <xf numFmtId="168" fontId="9" fillId="11" borderId="0" xfId="0" applyNumberFormat="1" applyFont="1" applyFill="1" applyAlignment="1">
      <alignment horizontal="center"/>
    </xf>
    <xf numFmtId="165" fontId="9" fillId="19" borderId="12" xfId="0" applyNumberFormat="1" applyFont="1" applyFill="1" applyBorder="1"/>
    <xf numFmtId="166" fontId="9" fillId="19" borderId="12" xfId="0" applyNumberFormat="1" applyFont="1" applyFill="1" applyBorder="1"/>
    <xf numFmtId="0" fontId="6" fillId="4" borderId="0" xfId="0" applyFont="1" applyFill="1"/>
    <xf numFmtId="167" fontId="6" fillId="4" borderId="0" xfId="0" applyNumberFormat="1" applyFont="1" applyFill="1" applyAlignment="1">
      <alignment horizontal="center"/>
    </xf>
    <xf numFmtId="167" fontId="22" fillId="4" borderId="0" xfId="0" applyNumberFormat="1" applyFont="1" applyFill="1" applyAlignment="1">
      <alignment horizontal="center"/>
    </xf>
    <xf numFmtId="167" fontId="6" fillId="4" borderId="1" xfId="0" applyNumberFormat="1" applyFont="1" applyFill="1" applyBorder="1" applyAlignment="1">
      <alignment horizontal="center"/>
    </xf>
    <xf numFmtId="167" fontId="22" fillId="4" borderId="1" xfId="0" applyNumberFormat="1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167" fontId="6" fillId="2" borderId="1" xfId="0" applyNumberFormat="1" applyFont="1" applyFill="1" applyBorder="1" applyAlignment="1">
      <alignment horizontal="center"/>
    </xf>
    <xf numFmtId="167" fontId="22" fillId="2" borderId="1" xfId="0" applyNumberFormat="1" applyFont="1" applyFill="1" applyBorder="1" applyAlignment="1">
      <alignment horizontal="center"/>
    </xf>
    <xf numFmtId="0" fontId="30" fillId="21" borderId="1" xfId="0" applyFont="1" applyFill="1" applyBorder="1" applyAlignment="1">
      <alignment horizontal="center"/>
    </xf>
    <xf numFmtId="167" fontId="30" fillId="21" borderId="1" xfId="0" applyNumberFormat="1" applyFont="1" applyFill="1" applyBorder="1" applyAlignment="1">
      <alignment horizontal="center"/>
    </xf>
    <xf numFmtId="1" fontId="19" fillId="3" borderId="1" xfId="0" applyNumberFormat="1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31" fillId="4" borderId="0" xfId="0" applyFont="1" applyFill="1"/>
    <xf numFmtId="43" fontId="5" fillId="0" borderId="0" xfId="0" applyNumberFormat="1" applyFont="1"/>
    <xf numFmtId="43" fontId="10" fillId="0" borderId="0" xfId="0" applyNumberFormat="1" applyFont="1"/>
    <xf numFmtId="164" fontId="32" fillId="4" borderId="10" xfId="0" applyNumberFormat="1" applyFont="1" applyFill="1" applyBorder="1"/>
    <xf numFmtId="0" fontId="12" fillId="11" borderId="1" xfId="0" applyFont="1" applyFill="1" applyBorder="1" applyAlignment="1">
      <alignment horizontal="center"/>
    </xf>
    <xf numFmtId="164" fontId="27" fillId="4" borderId="1" xfId="0" applyNumberFormat="1" applyFont="1" applyFill="1" applyBorder="1"/>
    <xf numFmtId="164" fontId="27" fillId="4" borderId="11" xfId="0" applyNumberFormat="1" applyFont="1" applyFill="1" applyBorder="1"/>
    <xf numFmtId="164" fontId="32" fillId="4" borderId="1" xfId="0" applyNumberFormat="1" applyFont="1" applyFill="1" applyBorder="1"/>
    <xf numFmtId="0" fontId="18" fillId="3" borderId="1" xfId="0" applyFont="1" applyFill="1" applyBorder="1" applyAlignment="1">
      <alignment horizontal="left" wrapText="1"/>
    </xf>
    <xf numFmtId="0" fontId="17" fillId="3" borderId="1" xfId="0" applyFont="1" applyFill="1" applyBorder="1" applyAlignment="1">
      <alignment horizontal="center"/>
    </xf>
    <xf numFmtId="166" fontId="27" fillId="4" borderId="1" xfId="0" applyNumberFormat="1" applyFont="1" applyFill="1" applyBorder="1"/>
    <xf numFmtId="166" fontId="32" fillId="4" borderId="1" xfId="0" applyNumberFormat="1" applyFont="1" applyFill="1" applyBorder="1"/>
    <xf numFmtId="0" fontId="6" fillId="22" borderId="1" xfId="0" applyFont="1" applyFill="1" applyBorder="1" applyAlignment="1">
      <alignment horizontal="center"/>
    </xf>
    <xf numFmtId="167" fontId="6" fillId="22" borderId="1" xfId="0" applyNumberFormat="1" applyFont="1" applyFill="1" applyBorder="1" applyAlignment="1">
      <alignment horizontal="center"/>
    </xf>
    <xf numFmtId="167" fontId="22" fillId="22" borderId="1" xfId="0" applyNumberFormat="1" applyFont="1" applyFill="1" applyBorder="1" applyAlignment="1">
      <alignment horizontal="center"/>
    </xf>
    <xf numFmtId="1" fontId="8" fillId="6" borderId="1" xfId="0" applyNumberFormat="1" applyFont="1" applyFill="1" applyBorder="1" applyAlignment="1">
      <alignment horizontal="center"/>
    </xf>
    <xf numFmtId="0" fontId="12" fillId="8" borderId="1" xfId="0" applyFont="1" applyFill="1" applyBorder="1" applyAlignment="1">
      <alignment horizontal="center"/>
    </xf>
    <xf numFmtId="0" fontId="17" fillId="8" borderId="1" xfId="0" applyFont="1" applyFill="1" applyBorder="1" applyAlignment="1">
      <alignment horizontal="center"/>
    </xf>
    <xf numFmtId="0" fontId="18" fillId="11" borderId="1" xfId="0" applyFont="1" applyFill="1" applyBorder="1" applyAlignment="1">
      <alignment horizontal="left" wrapText="1"/>
    </xf>
    <xf numFmtId="2" fontId="0" fillId="4" borderId="0" xfId="0" applyNumberFormat="1" applyFill="1"/>
    <xf numFmtId="0" fontId="17" fillId="17" borderId="1" xfId="0" applyFont="1" applyFill="1" applyBorder="1" applyAlignment="1">
      <alignment horizontal="center"/>
    </xf>
    <xf numFmtId="167" fontId="9" fillId="3" borderId="1" xfId="0" applyNumberFormat="1" applyFont="1" applyFill="1" applyBorder="1"/>
    <xf numFmtId="1" fontId="19" fillId="8" borderId="1" xfId="0" applyNumberFormat="1" applyFont="1" applyFill="1" applyBorder="1" applyAlignment="1">
      <alignment horizontal="center"/>
    </xf>
    <xf numFmtId="0" fontId="36" fillId="4" borderId="0" xfId="0" applyFont="1" applyFill="1" applyAlignment="1">
      <alignment horizontal="center"/>
    </xf>
    <xf numFmtId="14" fontId="12" fillId="11" borderId="1" xfId="0" applyNumberFormat="1" applyFont="1" applyFill="1" applyBorder="1" applyAlignment="1">
      <alignment horizontal="center" vertical="center"/>
    </xf>
    <xf numFmtId="14" fontId="17" fillId="17" borderId="1" xfId="0" applyNumberFormat="1" applyFont="1" applyFill="1" applyBorder="1" applyAlignment="1">
      <alignment horizontal="center"/>
    </xf>
    <xf numFmtId="1" fontId="22" fillId="17" borderId="1" xfId="0" applyNumberFormat="1" applyFont="1" applyFill="1" applyBorder="1" applyAlignment="1">
      <alignment horizontal="center"/>
    </xf>
    <xf numFmtId="43" fontId="14" fillId="0" borderId="1" xfId="0" applyNumberFormat="1" applyFont="1" applyBorder="1" applyAlignment="1">
      <alignment horizontal="center" wrapText="1"/>
    </xf>
    <xf numFmtId="43" fontId="10" fillId="0" borderId="1" xfId="0" applyNumberFormat="1" applyFont="1" applyBorder="1" applyAlignment="1">
      <alignment horizontal="center" wrapText="1"/>
    </xf>
    <xf numFmtId="43" fontId="14" fillId="3" borderId="1" xfId="0" applyNumberFormat="1" applyFont="1" applyFill="1" applyBorder="1" applyAlignment="1">
      <alignment horizontal="center" wrapText="1"/>
    </xf>
    <xf numFmtId="4" fontId="10" fillId="0" borderId="1" xfId="0" applyNumberFormat="1" applyFont="1" applyBorder="1" applyAlignment="1">
      <alignment horizontal="right"/>
    </xf>
    <xf numFmtId="14" fontId="12" fillId="6" borderId="1" xfId="0" applyNumberFormat="1" applyFont="1" applyFill="1" applyBorder="1" applyAlignment="1">
      <alignment horizontal="center"/>
    </xf>
    <xf numFmtId="43" fontId="18" fillId="3" borderId="1" xfId="0" applyNumberFormat="1" applyFont="1" applyFill="1" applyBorder="1" applyAlignment="1">
      <alignment horizontal="center" wrapText="1"/>
    </xf>
    <xf numFmtId="4" fontId="0" fillId="4" borderId="0" xfId="0" applyNumberFormat="1" applyFill="1" applyAlignment="1">
      <alignment horizontal="center"/>
    </xf>
    <xf numFmtId="43" fontId="10" fillId="2" borderId="1" xfId="0" applyNumberFormat="1" applyFont="1" applyFill="1" applyBorder="1" applyAlignment="1">
      <alignment horizontal="center" wrapText="1"/>
    </xf>
    <xf numFmtId="0" fontId="14" fillId="6" borderId="1" xfId="0" applyFont="1" applyFill="1" applyBorder="1" applyAlignment="1">
      <alignment horizontal="left" wrapText="1"/>
    </xf>
    <xf numFmtId="43" fontId="14" fillId="6" borderId="1" xfId="0" applyNumberFormat="1" applyFont="1" applyFill="1" applyBorder="1" applyAlignment="1">
      <alignment horizontal="center" wrapText="1"/>
    </xf>
    <xf numFmtId="165" fontId="9" fillId="17" borderId="12" xfId="0" applyNumberFormat="1" applyFont="1" applyFill="1" applyBorder="1"/>
    <xf numFmtId="0" fontId="22" fillId="4" borderId="5" xfId="0" applyFont="1" applyFill="1" applyBorder="1" applyAlignment="1">
      <alignment horizontal="center" vertical="center" wrapText="1"/>
    </xf>
    <xf numFmtId="0" fontId="22" fillId="4" borderId="6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12" fillId="4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43" fontId="10" fillId="4" borderId="0" xfId="0" applyNumberFormat="1" applyFont="1" applyFill="1"/>
    <xf numFmtId="43" fontId="14" fillId="12" borderId="1" xfId="0" applyNumberFormat="1" applyFont="1" applyFill="1" applyBorder="1" applyAlignment="1">
      <alignment horizontal="center" wrapText="1"/>
    </xf>
    <xf numFmtId="9" fontId="0" fillId="4" borderId="0" xfId="0" applyNumberFormat="1" applyFill="1"/>
    <xf numFmtId="167" fontId="32" fillId="4" borderId="1" xfId="0" applyNumberFormat="1" applyFont="1" applyFill="1" applyBorder="1" applyAlignment="1">
      <alignment horizontal="center"/>
    </xf>
    <xf numFmtId="169" fontId="27" fillId="4" borderId="1" xfId="0" applyNumberFormat="1" applyFont="1" applyFill="1" applyBorder="1" applyAlignment="1">
      <alignment horizontal="center"/>
    </xf>
    <xf numFmtId="167" fontId="27" fillId="4" borderId="1" xfId="0" applyNumberFormat="1" applyFont="1" applyFill="1" applyBorder="1" applyAlignment="1">
      <alignment horizontal="center"/>
    </xf>
    <xf numFmtId="0" fontId="18" fillId="17" borderId="1" xfId="0" applyFont="1" applyFill="1" applyBorder="1" applyAlignment="1">
      <alignment horizontal="left" wrapText="1"/>
    </xf>
    <xf numFmtId="43" fontId="18" fillId="17" borderId="1" xfId="0" applyNumberFormat="1" applyFont="1" applyFill="1" applyBorder="1" applyAlignment="1">
      <alignment horizontal="center" wrapText="1"/>
    </xf>
    <xf numFmtId="0" fontId="34" fillId="17" borderId="1" xfId="0" applyFont="1" applyFill="1" applyBorder="1" applyAlignment="1">
      <alignment horizontal="center"/>
    </xf>
    <xf numFmtId="0" fontId="39" fillId="17" borderId="1" xfId="0" applyFont="1" applyFill="1" applyBorder="1" applyAlignment="1">
      <alignment horizontal="center"/>
    </xf>
    <xf numFmtId="16" fontId="39" fillId="17" borderId="1" xfId="0" applyNumberFormat="1" applyFont="1" applyFill="1" applyBorder="1" applyAlignment="1">
      <alignment horizontal="center"/>
    </xf>
    <xf numFmtId="174" fontId="9" fillId="4" borderId="0" xfId="0" applyNumberFormat="1" applyFont="1" applyFill="1"/>
    <xf numFmtId="0" fontId="33" fillId="10" borderId="1" xfId="0" applyFont="1" applyFill="1" applyBorder="1" applyAlignment="1">
      <alignment horizontal="center"/>
    </xf>
    <xf numFmtId="0" fontId="20" fillId="10" borderId="1" xfId="0" applyFont="1" applyFill="1" applyBorder="1" applyAlignment="1">
      <alignment horizontal="left" wrapText="1"/>
    </xf>
    <xf numFmtId="14" fontId="33" fillId="10" borderId="1" xfId="0" applyNumberFormat="1" applyFont="1" applyFill="1" applyBorder="1" applyAlignment="1">
      <alignment horizontal="center"/>
    </xf>
    <xf numFmtId="1" fontId="30" fillId="10" borderId="1" xfId="0" applyNumberFormat="1" applyFont="1" applyFill="1" applyBorder="1" applyAlignment="1">
      <alignment horizontal="center"/>
    </xf>
    <xf numFmtId="43" fontId="20" fillId="10" borderId="1" xfId="0" applyNumberFormat="1" applyFont="1" applyFill="1" applyBorder="1" applyAlignment="1">
      <alignment horizontal="center" wrapText="1"/>
    </xf>
    <xf numFmtId="0" fontId="30" fillId="10" borderId="1" xfId="0" applyFont="1" applyFill="1" applyBorder="1" applyAlignment="1">
      <alignment horizontal="center"/>
    </xf>
    <xf numFmtId="0" fontId="24" fillId="10" borderId="1" xfId="0" applyFont="1" applyFill="1" applyBorder="1" applyAlignment="1">
      <alignment horizontal="center"/>
    </xf>
    <xf numFmtId="0" fontId="9" fillId="0" borderId="0" xfId="0" applyFont="1" applyAlignment="1">
      <alignment horizontal="right"/>
    </xf>
    <xf numFmtId="1" fontId="0" fillId="0" borderId="0" xfId="0" applyNumberFormat="1" applyAlignment="1">
      <alignment horizontal="left"/>
    </xf>
    <xf numFmtId="16" fontId="0" fillId="0" borderId="0" xfId="0" applyNumberFormat="1" applyAlignment="1">
      <alignment horizontal="center"/>
    </xf>
    <xf numFmtId="16" fontId="9" fillId="0" borderId="0" xfId="0" applyNumberFormat="1" applyFont="1" applyAlignment="1">
      <alignment horizontal="center"/>
    </xf>
    <xf numFmtId="167" fontId="37" fillId="4" borderId="0" xfId="0" applyNumberFormat="1" applyFont="1" applyFill="1" applyAlignment="1">
      <alignment horizontal="center"/>
    </xf>
    <xf numFmtId="0" fontId="22" fillId="4" borderId="0" xfId="0" applyFont="1" applyFill="1" applyAlignment="1">
      <alignment horizontal="right"/>
    </xf>
    <xf numFmtId="167" fontId="9" fillId="23" borderId="0" xfId="0" applyNumberFormat="1" applyFont="1" applyFill="1"/>
    <xf numFmtId="0" fontId="9" fillId="23" borderId="0" xfId="0" applyFont="1" applyFill="1" applyAlignment="1">
      <alignment horizontal="right"/>
    </xf>
    <xf numFmtId="164" fontId="9" fillId="4" borderId="0" xfId="0" applyNumberFormat="1" applyFont="1" applyFill="1" applyAlignment="1">
      <alignment horizontal="right"/>
    </xf>
    <xf numFmtId="176" fontId="0" fillId="4" borderId="0" xfId="0" applyNumberFormat="1" applyFill="1"/>
    <xf numFmtId="166" fontId="9" fillId="4" borderId="0" xfId="0" applyNumberFormat="1" applyFont="1" applyFill="1"/>
    <xf numFmtId="175" fontId="24" fillId="4" borderId="0" xfId="0" applyNumberFormat="1" applyFont="1" applyFill="1"/>
    <xf numFmtId="174" fontId="24" fillId="4" borderId="0" xfId="0" applyNumberFormat="1" applyFont="1" applyFill="1"/>
    <xf numFmtId="43" fontId="24" fillId="4" borderId="0" xfId="0" applyNumberFormat="1" applyFont="1" applyFill="1"/>
    <xf numFmtId="4" fontId="0" fillId="0" borderId="0" xfId="0" applyNumberFormat="1"/>
    <xf numFmtId="43" fontId="14" fillId="24" borderId="1" xfId="0" applyNumberFormat="1" applyFont="1" applyFill="1" applyBorder="1" applyAlignment="1">
      <alignment horizontal="center" wrapText="1"/>
    </xf>
    <xf numFmtId="0" fontId="14" fillId="8" borderId="1" xfId="0" applyFont="1" applyFill="1" applyBorder="1" applyAlignment="1">
      <alignment horizontal="left" wrapText="1"/>
    </xf>
    <xf numFmtId="14" fontId="12" fillId="8" borderId="1" xfId="0" applyNumberFormat="1" applyFont="1" applyFill="1" applyBorder="1" applyAlignment="1">
      <alignment horizontal="center" vertical="center"/>
    </xf>
    <xf numFmtId="43" fontId="14" fillId="8" borderId="1" xfId="0" applyNumberFormat="1" applyFont="1" applyFill="1" applyBorder="1" applyAlignment="1">
      <alignment horizontal="center" wrapText="1"/>
    </xf>
    <xf numFmtId="0" fontId="19" fillId="8" borderId="1" xfId="0" applyFont="1" applyFill="1" applyBorder="1" applyAlignment="1">
      <alignment horizontal="center"/>
    </xf>
    <xf numFmtId="0" fontId="21" fillId="8" borderId="1" xfId="0" applyFont="1" applyFill="1" applyBorder="1" applyAlignment="1">
      <alignment horizontal="center"/>
    </xf>
    <xf numFmtId="1" fontId="3" fillId="2" borderId="1" xfId="0" applyNumberFormat="1" applyFont="1" applyFill="1" applyBorder="1" applyAlignment="1">
      <alignment horizontal="center"/>
    </xf>
    <xf numFmtId="0" fontId="17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0" fillId="5" borderId="2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left" wrapText="1"/>
    </xf>
    <xf numFmtId="0" fontId="16" fillId="11" borderId="1" xfId="0" applyFon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43" fontId="14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14" fontId="12" fillId="8" borderId="1" xfId="0" applyNumberFormat="1" applyFont="1" applyFill="1" applyBorder="1" applyAlignment="1">
      <alignment horizontal="center"/>
    </xf>
    <xf numFmtId="1" fontId="8" fillId="8" borderId="1" xfId="0" applyNumberFormat="1" applyFont="1" applyFill="1" applyBorder="1" applyAlignment="1">
      <alignment horizontal="center"/>
    </xf>
    <xf numFmtId="43" fontId="18" fillId="8" borderId="1" xfId="0" applyNumberFormat="1" applyFont="1" applyFill="1" applyBorder="1" applyAlignment="1">
      <alignment horizontal="center" wrapText="1"/>
    </xf>
    <xf numFmtId="0" fontId="18" fillId="7" borderId="1" xfId="0" applyFont="1" applyFill="1" applyBorder="1" applyAlignment="1">
      <alignment horizontal="left" wrapText="1"/>
    </xf>
    <xf numFmtId="1" fontId="8" fillId="7" borderId="1" xfId="0" applyNumberFormat="1" applyFont="1" applyFill="1" applyBorder="1" applyAlignment="1">
      <alignment horizontal="center"/>
    </xf>
    <xf numFmtId="43" fontId="18" fillId="7" borderId="1" xfId="0" applyNumberFormat="1" applyFont="1" applyFill="1" applyBorder="1" applyAlignment="1">
      <alignment horizontal="center" wrapText="1"/>
    </xf>
    <xf numFmtId="0" fontId="17" fillId="7" borderId="1" xfId="0" applyFont="1" applyFill="1" applyBorder="1" applyAlignment="1">
      <alignment horizontal="center"/>
    </xf>
    <xf numFmtId="0" fontId="19" fillId="3" borderId="1" xfId="0" applyFont="1" applyFill="1" applyBorder="1" applyAlignment="1">
      <alignment horizontal="center"/>
    </xf>
    <xf numFmtId="0" fontId="21" fillId="3" borderId="1" xfId="0" applyFont="1" applyFill="1" applyBorder="1" applyAlignment="1">
      <alignment horizontal="center"/>
    </xf>
    <xf numFmtId="165" fontId="9" fillId="4" borderId="12" xfId="0" applyNumberFormat="1" applyFont="1" applyFill="1" applyBorder="1"/>
    <xf numFmtId="0" fontId="25" fillId="0" borderId="0" xfId="0" applyFont="1" applyAlignment="1">
      <alignment horizontal="center"/>
    </xf>
    <xf numFmtId="14" fontId="9" fillId="4" borderId="0" xfId="0" applyNumberFormat="1" applyFont="1" applyFill="1"/>
    <xf numFmtId="14" fontId="17" fillId="7" borderId="1" xfId="0" applyNumberFormat="1" applyFont="1" applyFill="1" applyBorder="1" applyAlignment="1">
      <alignment horizontal="center"/>
    </xf>
    <xf numFmtId="1" fontId="34" fillId="7" borderId="1" xfId="0" applyNumberFormat="1" applyFont="1" applyFill="1" applyBorder="1" applyAlignment="1">
      <alignment horizontal="center"/>
    </xf>
    <xf numFmtId="0" fontId="34" fillId="7" borderId="1" xfId="0" applyFont="1" applyFill="1" applyBorder="1" applyAlignment="1">
      <alignment horizontal="center"/>
    </xf>
    <xf numFmtId="0" fontId="39" fillId="7" borderId="1" xfId="0" applyFont="1" applyFill="1" applyBorder="1" applyAlignment="1">
      <alignment horizontal="center"/>
    </xf>
    <xf numFmtId="0" fontId="22" fillId="0" borderId="18" xfId="0" applyFont="1" applyBorder="1" applyAlignment="1">
      <alignment horizontal="center" vertical="center" wrapText="1"/>
    </xf>
    <xf numFmtId="167" fontId="32" fillId="4" borderId="11" xfId="0" applyNumberFormat="1" applyFont="1" applyFill="1" applyBorder="1" applyAlignment="1">
      <alignment horizontal="center"/>
    </xf>
    <xf numFmtId="166" fontId="0" fillId="4" borderId="11" xfId="0" applyNumberFormat="1" applyFill="1" applyBorder="1"/>
    <xf numFmtId="0" fontId="22" fillId="0" borderId="8" xfId="0" applyFont="1" applyBorder="1" applyAlignment="1">
      <alignment horizontal="center" vertical="center" wrapText="1"/>
    </xf>
    <xf numFmtId="166" fontId="0" fillId="4" borderId="13" xfId="0" applyNumberFormat="1" applyFill="1" applyBorder="1"/>
    <xf numFmtId="166" fontId="0" fillId="4" borderId="15" xfId="0" applyNumberFormat="1" applyFill="1" applyBorder="1"/>
    <xf numFmtId="166" fontId="32" fillId="4" borderId="11" xfId="0" applyNumberFormat="1" applyFont="1" applyFill="1" applyBorder="1"/>
    <xf numFmtId="166" fontId="0" fillId="23" borderId="15" xfId="0" applyNumberFormat="1" applyFill="1" applyBorder="1"/>
    <xf numFmtId="165" fontId="0" fillId="23" borderId="15" xfId="0" applyNumberFormat="1" applyFill="1" applyBorder="1"/>
    <xf numFmtId="165" fontId="0" fillId="23" borderId="13" xfId="0" applyNumberFormat="1" applyFill="1" applyBorder="1"/>
    <xf numFmtId="166" fontId="0" fillId="23" borderId="13" xfId="0" applyNumberFormat="1" applyFill="1" applyBorder="1"/>
    <xf numFmtId="165" fontId="0" fillId="23" borderId="15" xfId="0" applyNumberFormat="1" applyFill="1" applyBorder="1" applyAlignment="1">
      <alignment horizontal="left"/>
    </xf>
    <xf numFmtId="166" fontId="0" fillId="23" borderId="8" xfId="0" applyNumberFormat="1" applyFill="1" applyBorder="1"/>
    <xf numFmtId="165" fontId="0" fillId="23" borderId="8" xfId="0" applyNumberFormat="1" applyFill="1" applyBorder="1"/>
    <xf numFmtId="43" fontId="18" fillId="2" borderId="1" xfId="0" applyNumberFormat="1" applyFont="1" applyFill="1" applyBorder="1" applyAlignment="1">
      <alignment horizontal="center" wrapText="1"/>
    </xf>
    <xf numFmtId="177" fontId="0" fillId="4" borderId="0" xfId="0" applyNumberFormat="1" applyFill="1"/>
    <xf numFmtId="1" fontId="35" fillId="25" borderId="1" xfId="0" applyNumberFormat="1" applyFont="1" applyFill="1" applyBorder="1" applyAlignment="1">
      <alignment horizontal="center"/>
    </xf>
    <xf numFmtId="0" fontId="35" fillId="25" borderId="1" xfId="0" applyFont="1" applyFill="1" applyBorder="1" applyAlignment="1">
      <alignment horizontal="center"/>
    </xf>
    <xf numFmtId="0" fontId="38" fillId="25" borderId="1" xfId="0" applyFont="1" applyFill="1" applyBorder="1" applyAlignment="1">
      <alignment horizontal="center"/>
    </xf>
    <xf numFmtId="0" fontId="35" fillId="25" borderId="1" xfId="0" applyFont="1" applyFill="1" applyBorder="1" applyAlignment="1">
      <alignment horizontal="left" wrapText="1"/>
    </xf>
    <xf numFmtId="14" fontId="38" fillId="25" borderId="1" xfId="0" applyNumberFormat="1" applyFont="1" applyFill="1" applyBorder="1" applyAlignment="1">
      <alignment horizontal="center"/>
    </xf>
    <xf numFmtId="43" fontId="35" fillId="25" borderId="1" xfId="0" applyNumberFormat="1" applyFont="1" applyFill="1" applyBorder="1" applyAlignment="1">
      <alignment horizontal="center" wrapText="1"/>
    </xf>
    <xf numFmtId="0" fontId="18" fillId="2" borderId="1" xfId="0" applyFont="1" applyFill="1" applyBorder="1" applyAlignment="1">
      <alignment horizontal="left" wrapText="1"/>
    </xf>
    <xf numFmtId="14" fontId="17" fillId="2" borderId="1" xfId="0" applyNumberFormat="1" applyFont="1" applyFill="1" applyBorder="1" applyAlignment="1">
      <alignment horizontal="center"/>
    </xf>
    <xf numFmtId="1" fontId="22" fillId="2" borderId="1" xfId="0" applyNumberFormat="1" applyFont="1" applyFill="1" applyBorder="1" applyAlignment="1">
      <alignment horizontal="center"/>
    </xf>
    <xf numFmtId="0" fontId="34" fillId="2" borderId="1" xfId="0" applyFont="1" applyFill="1" applyBorder="1" applyAlignment="1">
      <alignment horizontal="center"/>
    </xf>
    <xf numFmtId="0" fontId="39" fillId="2" borderId="1" xfId="0" applyFont="1" applyFill="1" applyBorder="1" applyAlignment="1">
      <alignment horizontal="center"/>
    </xf>
    <xf numFmtId="16" fontId="39" fillId="2" borderId="1" xfId="0" applyNumberFormat="1" applyFont="1" applyFill="1" applyBorder="1" applyAlignment="1">
      <alignment horizontal="center"/>
    </xf>
    <xf numFmtId="43" fontId="15" fillId="0" borderId="3" xfId="0" applyNumberFormat="1" applyFont="1" applyBorder="1" applyAlignment="1">
      <alignment horizontal="right" wrapText="1"/>
    </xf>
    <xf numFmtId="0" fontId="2" fillId="0" borderId="1" xfId="0" applyFont="1" applyBorder="1" applyAlignment="1">
      <alignment horizontal="center"/>
    </xf>
    <xf numFmtId="0" fontId="14" fillId="4" borderId="1" xfId="0" applyFont="1" applyFill="1" applyBorder="1" applyAlignment="1">
      <alignment horizontal="left" wrapText="1"/>
    </xf>
    <xf numFmtId="14" fontId="12" fillId="4" borderId="1" xfId="0" applyNumberFormat="1" applyFont="1" applyFill="1" applyBorder="1" applyAlignment="1">
      <alignment horizontal="center"/>
    </xf>
    <xf numFmtId="1" fontId="8" fillId="4" borderId="1" xfId="0" applyNumberFormat="1" applyFont="1" applyFill="1" applyBorder="1" applyAlignment="1">
      <alignment horizontal="center"/>
    </xf>
    <xf numFmtId="43" fontId="14" fillId="4" borderId="1" xfId="0" applyNumberFormat="1" applyFont="1" applyFill="1" applyBorder="1" applyAlignment="1">
      <alignment horizontal="center" wrapText="1"/>
    </xf>
    <xf numFmtId="0" fontId="19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0" fontId="14" fillId="24" borderId="1" xfId="0" applyFont="1" applyFill="1" applyBorder="1" applyAlignment="1">
      <alignment horizontal="left" wrapText="1"/>
    </xf>
    <xf numFmtId="14" fontId="12" fillId="24" borderId="1" xfId="0" applyNumberFormat="1" applyFont="1" applyFill="1" applyBorder="1" applyAlignment="1">
      <alignment horizontal="center"/>
    </xf>
    <xf numFmtId="1" fontId="19" fillId="24" borderId="1" xfId="0" applyNumberFormat="1" applyFont="1" applyFill="1" applyBorder="1" applyAlignment="1">
      <alignment horizontal="center"/>
    </xf>
    <xf numFmtId="0" fontId="12" fillId="24" borderId="1" xfId="0" applyFont="1" applyFill="1" applyBorder="1" applyAlignment="1">
      <alignment horizontal="center"/>
    </xf>
    <xf numFmtId="0" fontId="19" fillId="24" borderId="1" xfId="0" applyFont="1" applyFill="1" applyBorder="1" applyAlignment="1">
      <alignment horizontal="center"/>
    </xf>
    <xf numFmtId="0" fontId="21" fillId="24" borderId="1" xfId="0" applyFont="1" applyFill="1" applyBorder="1" applyAlignment="1">
      <alignment horizontal="center"/>
    </xf>
    <xf numFmtId="0" fontId="1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left" wrapText="1"/>
    </xf>
    <xf numFmtId="14" fontId="12" fillId="12" borderId="1" xfId="0" applyNumberFormat="1" applyFont="1" applyFill="1" applyBorder="1" applyAlignment="1">
      <alignment horizontal="center"/>
    </xf>
    <xf numFmtId="1" fontId="8" fillId="12" borderId="1" xfId="0" applyNumberFormat="1" applyFont="1" applyFill="1" applyBorder="1" applyAlignment="1">
      <alignment horizontal="center"/>
    </xf>
    <xf numFmtId="0" fontId="19" fillId="12" borderId="1" xfId="0" applyFont="1" applyFill="1" applyBorder="1" applyAlignment="1">
      <alignment horizontal="center"/>
    </xf>
    <xf numFmtId="0" fontId="21" fillId="12" borderId="1" xfId="0" applyFont="1" applyFill="1" applyBorder="1" applyAlignment="1">
      <alignment horizontal="center"/>
    </xf>
    <xf numFmtId="1" fontId="19" fillId="7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65" fontId="0" fillId="4" borderId="13" xfId="0" applyNumberFormat="1" applyFill="1" applyBorder="1"/>
    <xf numFmtId="165" fontId="0" fillId="4" borderId="15" xfId="0" applyNumberFormat="1" applyFill="1" applyBorder="1"/>
    <xf numFmtId="1" fontId="1" fillId="3" borderId="1" xfId="0" applyNumberFormat="1" applyFont="1" applyFill="1" applyBorder="1" applyAlignment="1">
      <alignment horizontal="center"/>
    </xf>
    <xf numFmtId="0" fontId="9" fillId="4" borderId="16" xfId="0" applyFont="1" applyFill="1" applyBorder="1" applyAlignment="1">
      <alignment horizontal="center"/>
    </xf>
    <xf numFmtId="0" fontId="9" fillId="4" borderId="11" xfId="0" applyFont="1" applyFill="1" applyBorder="1" applyAlignment="1">
      <alignment horizontal="center"/>
    </xf>
    <xf numFmtId="0" fontId="9" fillId="20" borderId="16" xfId="0" applyFont="1" applyFill="1" applyBorder="1" applyAlignment="1">
      <alignment horizontal="center"/>
    </xf>
    <xf numFmtId="0" fontId="9" fillId="20" borderId="9" xfId="0" applyFont="1" applyFill="1" applyBorder="1" applyAlignment="1">
      <alignment horizontal="center"/>
    </xf>
    <xf numFmtId="0" fontId="9" fillId="20" borderId="11" xfId="0" applyFont="1" applyFill="1" applyBorder="1" applyAlignment="1">
      <alignment horizontal="center"/>
    </xf>
    <xf numFmtId="0" fontId="6" fillId="4" borderId="16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43" fontId="9" fillId="4" borderId="16" xfId="0" applyNumberFormat="1" applyFont="1" applyFill="1" applyBorder="1" applyAlignment="1">
      <alignment horizontal="center"/>
    </xf>
    <xf numFmtId="43" fontId="9" fillId="4" borderId="11" xfId="0" applyNumberFormat="1" applyFont="1" applyFill="1" applyBorder="1" applyAlignment="1">
      <alignment horizontal="center"/>
    </xf>
    <xf numFmtId="0" fontId="23" fillId="4" borderId="16" xfId="0" applyFont="1" applyFill="1" applyBorder="1" applyAlignment="1">
      <alignment horizontal="center"/>
    </xf>
    <xf numFmtId="0" fontId="23" fillId="4" borderId="11" xfId="0" applyFont="1" applyFill="1" applyBorder="1" applyAlignment="1">
      <alignment horizontal="center"/>
    </xf>
    <xf numFmtId="43" fontId="27" fillId="4" borderId="16" xfId="0" applyNumberFormat="1" applyFont="1" applyFill="1" applyBorder="1" applyAlignment="1">
      <alignment horizontal="center"/>
    </xf>
    <xf numFmtId="43" fontId="27" fillId="4" borderId="11" xfId="0" applyNumberFormat="1" applyFont="1" applyFill="1" applyBorder="1" applyAlignment="1">
      <alignment horizontal="center"/>
    </xf>
    <xf numFmtId="167" fontId="9" fillId="4" borderId="0" xfId="0" applyNumberFormat="1" applyFont="1" applyFill="1" applyAlignment="1">
      <alignment horizontal="center"/>
    </xf>
    <xf numFmtId="0" fontId="39" fillId="4" borderId="16" xfId="0" applyFont="1" applyFill="1" applyBorder="1" applyAlignment="1">
      <alignment horizontal="center"/>
    </xf>
    <xf numFmtId="0" fontId="39" fillId="4" borderId="11" xfId="0" applyFont="1" applyFill="1" applyBorder="1" applyAlignment="1">
      <alignment horizontal="center"/>
    </xf>
    <xf numFmtId="43" fontId="21" fillId="4" borderId="16" xfId="0" applyNumberFormat="1" applyFont="1" applyFill="1" applyBorder="1" applyAlignment="1">
      <alignment horizontal="center"/>
    </xf>
    <xf numFmtId="43" fontId="21" fillId="4" borderId="11" xfId="0" applyNumberFormat="1" applyFont="1" applyFill="1" applyBorder="1" applyAlignment="1">
      <alignment horizontal="center"/>
    </xf>
    <xf numFmtId="0" fontId="25" fillId="0" borderId="4" xfId="0" applyFont="1" applyBorder="1" applyAlignment="1">
      <alignment horizontal="center"/>
    </xf>
    <xf numFmtId="0" fontId="26" fillId="4" borderId="16" xfId="0" applyFont="1" applyFill="1" applyBorder="1" applyAlignment="1">
      <alignment horizontal="center"/>
    </xf>
    <xf numFmtId="0" fontId="26" fillId="4" borderId="11" xfId="0" applyFont="1" applyFill="1" applyBorder="1" applyAlignment="1">
      <alignment horizontal="center"/>
    </xf>
    <xf numFmtId="43" fontId="28" fillId="4" borderId="16" xfId="0" applyNumberFormat="1" applyFont="1" applyFill="1" applyBorder="1" applyAlignment="1">
      <alignment horizontal="center"/>
    </xf>
    <xf numFmtId="43" fontId="28" fillId="4" borderId="11" xfId="0" applyNumberFormat="1" applyFont="1" applyFill="1" applyBorder="1" applyAlignment="1">
      <alignment horizontal="center"/>
    </xf>
    <xf numFmtId="0" fontId="9" fillId="11" borderId="16" xfId="0" applyFont="1" applyFill="1" applyBorder="1" applyAlignment="1">
      <alignment horizontal="center" vertical="center"/>
    </xf>
    <xf numFmtId="0" fontId="9" fillId="11" borderId="9" xfId="0" applyFont="1" applyFill="1" applyBorder="1" applyAlignment="1">
      <alignment horizontal="center" vertical="center"/>
    </xf>
    <xf numFmtId="0" fontId="9" fillId="11" borderId="1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7" borderId="16" xfId="0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/>
    </xf>
    <xf numFmtId="0" fontId="9" fillId="7" borderId="11" xfId="0" applyFont="1" applyFill="1" applyBorder="1" applyAlignment="1">
      <alignment horizontal="center" vertical="center"/>
    </xf>
    <xf numFmtId="7" fontId="9" fillId="0" borderId="0" xfId="0" applyNumberFormat="1" applyFont="1" applyAlignment="1">
      <alignment horizontal="left"/>
    </xf>
  </cellXfs>
  <cellStyles count="1">
    <cellStyle name="Normal" xfId="0" builtinId="0"/>
  </cellStyles>
  <dxfs count="11"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strike val="0"/>
        <u val="none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numFmt numFmtId="35" formatCode="_-* #,##0.00_-;\-* #,##0.00_-;_-* &quot;-&quot;??_-;_-@_-"/>
    </dxf>
  </dxfs>
  <tableStyles count="0" defaultTableStyle="TableStyleMedium2" defaultPivotStyle="PivotStyleLight16"/>
  <colors>
    <mruColors>
      <color rgb="FFFFFF99"/>
      <color rgb="FFFFCCCC"/>
      <color rgb="FFFF99CC"/>
      <color rgb="FFFF9999"/>
      <color rgb="FFEFF1CB"/>
      <color rgb="FFEDF6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microsoft.com/office/2011/relationships/timelineCache" Target="timelineCaches/timelineCach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4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[SALDO - FLUJO DE PAGOS 2026.xlsx]DATA TABLA!TablaDinámica7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bg1"/>
                </a:solidFill>
              </a:rPr>
              <a:t>PAGOS</a:t>
            </a:r>
            <a:r>
              <a:rPr lang="en-US" sz="2000" b="1" baseline="0">
                <a:solidFill>
                  <a:schemeClr val="bg1"/>
                </a:solidFill>
              </a:rPr>
              <a:t> TOTALES POR MES</a:t>
            </a:r>
            <a:endParaRPr lang="en-US" sz="2000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\$\ ###,###.##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5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1967207824499306E-3"/>
          <c:y val="0.26376225091966599"/>
          <c:w val="0.98196721427861011"/>
          <c:h val="0.5424246291109352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 TABLA'!$B$3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\$\ ###,###.##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TABLA'!$A$4:$A$8</c:f>
              <c:strCache>
                <c:ptCount val="4"/>
                <c:pt idx="0">
                  <c:v>Mar</c:v>
                </c:pt>
                <c:pt idx="1">
                  <c:v>Abr</c:v>
                </c:pt>
                <c:pt idx="2">
                  <c:v>May</c:v>
                </c:pt>
                <c:pt idx="3">
                  <c:v>Jun</c:v>
                </c:pt>
              </c:strCache>
            </c:strRef>
          </c:cat>
          <c:val>
            <c:numRef>
              <c:f>'DATA TABLA'!$B$4:$B$8</c:f>
              <c:numCache>
                <c:formatCode>#,##0.00</c:formatCode>
                <c:ptCount val="4"/>
                <c:pt idx="0">
                  <c:v>282637.05575342465</c:v>
                </c:pt>
                <c:pt idx="1">
                  <c:v>264187.07808219182</c:v>
                </c:pt>
                <c:pt idx="2">
                  <c:v>158649.03136986305</c:v>
                </c:pt>
                <c:pt idx="3">
                  <c:v>82864.75068493151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EB-7B47-8BFF-AB5EACAF2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122206736"/>
        <c:axId val="122207296"/>
      </c:barChart>
      <c:catAx>
        <c:axId val="122206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2207296"/>
        <c:crosses val="autoZero"/>
        <c:auto val="1"/>
        <c:lblAlgn val="ctr"/>
        <c:lblOffset val="100"/>
        <c:noMultiLvlLbl val="0"/>
      </c:catAx>
      <c:valAx>
        <c:axId val="122207296"/>
        <c:scaling>
          <c:orientation val="minMax"/>
        </c:scaling>
        <c:delete val="1"/>
        <c:axPos val="l"/>
        <c:numFmt formatCode="#,##0.00" sourceLinked="1"/>
        <c:majorTickMark val="none"/>
        <c:minorTickMark val="none"/>
        <c:tickLblPos val="nextTo"/>
        <c:crossAx val="122206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[SALDO - FLUJO DE PAGOS 2026.xlsx]DATA TABLA!TablaDinámica9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bg1"/>
                </a:solidFill>
              </a:rPr>
              <a:t>PAGOS</a:t>
            </a:r>
            <a:r>
              <a:rPr lang="en-US" sz="2000" b="1" baseline="0">
                <a:solidFill>
                  <a:schemeClr val="bg1"/>
                </a:solidFill>
              </a:rPr>
              <a:t> DESTINADOS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\$\ ###,###.##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5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0388607105435861"/>
          <c:y val="0.11001348214276466"/>
          <c:w val="0.68490588290038878"/>
          <c:h val="0.8763440707058883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'DATA TABLA'!$I$23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\$\ ###,###.##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TABLA'!$H$24:$H$44</c:f>
              <c:strCache>
                <c:ptCount val="20"/>
                <c:pt idx="0">
                  <c:v>ADITIVOS</c:v>
                </c:pt>
                <c:pt idx="1">
                  <c:v>ALAMBRE</c:v>
                </c:pt>
                <c:pt idx="2">
                  <c:v>DEUDA BANCOS</c:v>
                </c:pt>
                <c:pt idx="3">
                  <c:v>ETIQUETAS</c:v>
                </c:pt>
                <c:pt idx="4">
                  <c:v>GRAPAS</c:v>
                </c:pt>
                <c:pt idx="5">
                  <c:v>HILOS</c:v>
                </c:pt>
                <c:pt idx="6">
                  <c:v>IMPUESTOS</c:v>
                </c:pt>
                <c:pt idx="7">
                  <c:v>MANGAS</c:v>
                </c:pt>
                <c:pt idx="8">
                  <c:v>NOTEX</c:v>
                </c:pt>
                <c:pt idx="9">
                  <c:v>PLANILLA</c:v>
                </c:pt>
                <c:pt idx="10">
                  <c:v>SILICONA</c:v>
                </c:pt>
                <c:pt idx="11">
                  <c:v>SISAL Y CINTAS</c:v>
                </c:pt>
                <c:pt idx="12">
                  <c:v>POCKET</c:v>
                </c:pt>
                <c:pt idx="13">
                  <c:v>INTERNET</c:v>
                </c:pt>
                <c:pt idx="14">
                  <c:v>PASTAS</c:v>
                </c:pt>
                <c:pt idx="15">
                  <c:v>SOAT</c:v>
                </c:pt>
                <c:pt idx="16">
                  <c:v>PAGARE</c:v>
                </c:pt>
                <c:pt idx="17">
                  <c:v>ENTEL</c:v>
                </c:pt>
                <c:pt idx="18">
                  <c:v>CINTAS</c:v>
                </c:pt>
                <c:pt idx="19">
                  <c:v>CTS</c:v>
                </c:pt>
              </c:strCache>
            </c:strRef>
          </c:cat>
          <c:val>
            <c:numRef>
              <c:f>'DATA TABLA'!$I$24:$I$44</c:f>
              <c:numCache>
                <c:formatCode>General</c:formatCode>
                <c:ptCount val="20"/>
                <c:pt idx="0">
                  <c:v>8437</c:v>
                </c:pt>
                <c:pt idx="1">
                  <c:v>215086.49</c:v>
                </c:pt>
                <c:pt idx="2">
                  <c:v>89644.542465753417</c:v>
                </c:pt>
                <c:pt idx="3">
                  <c:v>1670.1041095890412</c:v>
                </c:pt>
                <c:pt idx="4">
                  <c:v>3201.6</c:v>
                </c:pt>
                <c:pt idx="5">
                  <c:v>2961.28</c:v>
                </c:pt>
                <c:pt idx="6">
                  <c:v>38810.095890410958</c:v>
                </c:pt>
                <c:pt idx="7">
                  <c:v>43211.040684931504</c:v>
                </c:pt>
                <c:pt idx="8">
                  <c:v>19868.78</c:v>
                </c:pt>
                <c:pt idx="9">
                  <c:v>168767.12328767127</c:v>
                </c:pt>
                <c:pt idx="10">
                  <c:v>5994.4</c:v>
                </c:pt>
                <c:pt idx="11">
                  <c:v>28459</c:v>
                </c:pt>
                <c:pt idx="12">
                  <c:v>1552</c:v>
                </c:pt>
                <c:pt idx="13">
                  <c:v>24.657534246575342</c:v>
                </c:pt>
                <c:pt idx="14">
                  <c:v>566.4</c:v>
                </c:pt>
                <c:pt idx="15">
                  <c:v>43.835616438356162</c:v>
                </c:pt>
                <c:pt idx="16">
                  <c:v>153596.27863013698</c:v>
                </c:pt>
                <c:pt idx="17">
                  <c:v>73.424657534246577</c:v>
                </c:pt>
                <c:pt idx="18">
                  <c:v>616.43835616438355</c:v>
                </c:pt>
                <c:pt idx="19">
                  <c:v>5753.4246575342468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21-BF4E-8DA5-EF0A5E64A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122208976"/>
        <c:axId val="224254128"/>
      </c:barChart>
      <c:catAx>
        <c:axId val="122208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24254128"/>
        <c:crosses val="autoZero"/>
        <c:auto val="1"/>
        <c:lblAlgn val="ctr"/>
        <c:lblOffset val="100"/>
        <c:noMultiLvlLbl val="0"/>
      </c:catAx>
      <c:valAx>
        <c:axId val="22425412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2208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[SALDO - FLUJO DE PAGOS 2026.xlsx]DATA TABLA!TablaDinámica10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bg1"/>
                </a:solidFill>
              </a:rPr>
              <a:t>UBICACION</a:t>
            </a:r>
            <a:r>
              <a:rPr lang="en-US" sz="2000" b="1" baseline="0">
                <a:solidFill>
                  <a:schemeClr val="bg1"/>
                </a:solidFill>
              </a:rPr>
              <a:t> DE LAS LETRAS</a:t>
            </a:r>
            <a:endParaRPr lang="en-US" sz="2000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\$\ ###,###.##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5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'DATA TABLA'!$J$106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\$\ ###,###.##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TABLA'!$I$107:$I$114</c:f>
              <c:strCache>
                <c:ptCount val="7"/>
                <c:pt idx="0">
                  <c:v>BBVA</c:v>
                </c:pt>
                <c:pt idx="1">
                  <c:v>BCP</c:v>
                </c:pt>
                <c:pt idx="2">
                  <c:v>POR ACEPTAR</c:v>
                </c:pt>
                <c:pt idx="3">
                  <c:v>SCOTIABANK</c:v>
                </c:pt>
                <c:pt idx="4">
                  <c:v>POR ENVIAR</c:v>
                </c:pt>
                <c:pt idx="5">
                  <c:v>VIGILANCIA</c:v>
                </c:pt>
                <c:pt idx="6">
                  <c:v>SOCTIABANK</c:v>
                </c:pt>
              </c:strCache>
            </c:strRef>
          </c:cat>
          <c:val>
            <c:numRef>
              <c:f>'DATA TABLA'!$J$107:$J$114</c:f>
              <c:numCache>
                <c:formatCode>General</c:formatCode>
                <c:ptCount val="7"/>
                <c:pt idx="0">
                  <c:v>100017.68547945205</c:v>
                </c:pt>
                <c:pt idx="1">
                  <c:v>594070.42219178053</c:v>
                </c:pt>
                <c:pt idx="2">
                  <c:v>11593.974109589042</c:v>
                </c:pt>
                <c:pt idx="3">
                  <c:v>3570.9041095890411</c:v>
                </c:pt>
                <c:pt idx="4">
                  <c:v>73493.430000000008</c:v>
                </c:pt>
                <c:pt idx="5">
                  <c:v>1644.4</c:v>
                </c:pt>
                <c:pt idx="6">
                  <c:v>3947.1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4E-6145-8493-61D2FD150E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24256368"/>
        <c:axId val="224256928"/>
      </c:barChart>
      <c:catAx>
        <c:axId val="224256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24256928"/>
        <c:crosses val="autoZero"/>
        <c:auto val="1"/>
        <c:lblAlgn val="ctr"/>
        <c:lblOffset val="100"/>
        <c:noMultiLvlLbl val="0"/>
      </c:catAx>
      <c:valAx>
        <c:axId val="22425692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24256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[SALDO - FLUJO DE PAGOS 2026.xlsx]DATA TABLA!TablaDinámica1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4.57349912691494E-2"/>
              <c:y val="-2.79561399469427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</c:pivotFmt>
      <c:pivotFmt>
        <c:idx val="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9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9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9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9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9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4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4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4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4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4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4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4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4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4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4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4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4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4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4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4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4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4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4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4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4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4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4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4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4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'DATA TABLA'!$J$163:$J$165</c:f>
              <c:strCache>
                <c:ptCount val="1"/>
                <c:pt idx="0">
                  <c:v>Mar - 1/03/2026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273-4615-AC59-CC86C4B2F94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273-4615-AC59-CC86C4B2F94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273-4615-AC59-CC86C4B2F94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273-4615-AC59-CC86C4B2F94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A84-425B-82E8-5F12BAC6CB8A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TABLA'!$J$166:$J$171</c:f>
              <c:numCache>
                <c:formatCode>_(* #,##0.00_);_(* \(#,##0.00\);_(* "-"??_);_(@_)</c:formatCode>
                <c:ptCount val="5"/>
                <c:pt idx="0">
                  <c:v>6849.3150684931506</c:v>
                </c:pt>
                <c:pt idx="1">
                  <c:v>6849.3150684931506</c:v>
                </c:pt>
                <c:pt idx="2">
                  <c:v>4383.5616438356165</c:v>
                </c:pt>
                <c:pt idx="3">
                  <c:v>6849.3150684931506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273-4615-AC59-CC86C4B2F945}"/>
            </c:ext>
          </c:extLst>
        </c:ser>
        <c:ser>
          <c:idx val="1"/>
          <c:order val="1"/>
          <c:tx>
            <c:strRef>
              <c:f>'DATA TABLA'!$K$163:$K$165</c:f>
              <c:strCache>
                <c:ptCount val="1"/>
                <c:pt idx="0">
                  <c:v>Mar - 2/03/2026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73B-4560-A80C-FF3C21DCD4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73B-4560-A80C-FF3C21DCD4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73B-4560-A80C-FF3C21DCD4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73B-4560-A80C-FF3C21DCD4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A84-425B-82E8-5F12BAC6CB8A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TABLA'!$K$166:$K$171</c:f>
              <c:numCache>
                <c:formatCode>_(* #,##0.00_);_(* \(#,##0.00\);_(* "-"??_);_(@_)</c:formatCode>
                <c:ptCount val="5"/>
                <c:pt idx="1">
                  <c:v>28459</c:v>
                </c:pt>
                <c:pt idx="3">
                  <c:v>6576.6164383561645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3B-AA1A-4370-A2F5-592C26CB406D}"/>
            </c:ext>
          </c:extLst>
        </c:ser>
        <c:ser>
          <c:idx val="2"/>
          <c:order val="2"/>
          <c:tx>
            <c:strRef>
              <c:f>'DATA TABLA'!$L$163:$L$165</c:f>
              <c:strCache>
                <c:ptCount val="1"/>
                <c:pt idx="0">
                  <c:v>Mar - 3/03/2026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849-4E22-8DC9-DD6FA5CB176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849-4E22-8DC9-DD6FA5CB176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B849-4E22-8DC9-DD6FA5CB176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B849-4E22-8DC9-DD6FA5CB176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F9BE-4412-ABD6-DEEBA55A59ED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TABLA'!$L$166:$L$171</c:f>
              <c:numCache>
                <c:formatCode>_(* #,##0.00_);_(* \(#,##0.00\);_(* "-"??_);_(@_)</c:formatCode>
                <c:ptCount val="5"/>
                <c:pt idx="1">
                  <c:v>619.5</c:v>
                </c:pt>
                <c:pt idx="3">
                  <c:v>64857.1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B7-546E-4CE8-AA85-FC3BEB0ACA6F}"/>
            </c:ext>
          </c:extLst>
        </c:ser>
        <c:ser>
          <c:idx val="3"/>
          <c:order val="3"/>
          <c:tx>
            <c:strRef>
              <c:f>'DATA TABLA'!$M$163:$M$165</c:f>
              <c:strCache>
                <c:ptCount val="1"/>
                <c:pt idx="0">
                  <c:v>Mar - 5/03/2026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B849-4E22-8DC9-DD6FA5CB176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B849-4E22-8DC9-DD6FA5CB176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B849-4E22-8DC9-DD6FA5CB176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B849-4E22-8DC9-DD6FA5CB176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7-F9BE-4412-ABD6-DEEBA55A59ED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TABLA'!$M$166:$M$171</c:f>
              <c:numCache>
                <c:formatCode>_(* #,##0.00_);_(* \(#,##0.00\);_(* "-"??_);_(@_)</c:formatCode>
                <c:ptCount val="5"/>
                <c:pt idx="3">
                  <c:v>98.082191780821915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B8-546E-4CE8-AA85-FC3BEB0ACA6F}"/>
            </c:ext>
          </c:extLst>
        </c:ser>
        <c:ser>
          <c:idx val="4"/>
          <c:order val="4"/>
          <c:tx>
            <c:strRef>
              <c:f>'DATA TABLA'!$N$163:$N$165</c:f>
              <c:strCache>
                <c:ptCount val="1"/>
                <c:pt idx="0">
                  <c:v>Mar - 7/03/2026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B849-4E22-8DC9-DD6FA5CB176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7-B849-4E22-8DC9-DD6FA5CB176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9-B849-4E22-8DC9-DD6FA5CB176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B-B849-4E22-8DC9-DD6FA5CB176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1-F9BE-4412-ABD6-DEEBA55A59ED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TABLA'!$N$166:$N$171</c:f>
              <c:numCache>
                <c:formatCode>_(* #,##0.00_);_(* \(#,##0.00\);_(* "-"??_);_(@_)</c:formatCode>
                <c:ptCount val="5"/>
                <c:pt idx="2">
                  <c:v>2175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B9-546E-4CE8-AA85-FC3BEB0ACA6F}"/>
            </c:ext>
          </c:extLst>
        </c:ser>
        <c:ser>
          <c:idx val="5"/>
          <c:order val="5"/>
          <c:tx>
            <c:strRef>
              <c:f>'DATA TABLA'!$O$163:$O$165</c:f>
              <c:strCache>
                <c:ptCount val="1"/>
                <c:pt idx="0">
                  <c:v>Mar - 8/03/2026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D-B849-4E22-8DC9-DD6FA5CB176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F-B849-4E22-8DC9-DD6FA5CB176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1-B849-4E22-8DC9-DD6FA5CB176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3-B849-4E22-8DC9-DD6FA5CB176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B-F9BE-4412-ABD6-DEEBA55A59ED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TABLA'!$O$166:$O$171</c:f>
              <c:numCache>
                <c:formatCode>_(* #,##0.00_);_(* \(#,##0.00\);_(* "-"??_);_(@_)</c:formatCode>
                <c:ptCount val="5"/>
                <c:pt idx="1">
                  <c:v>566.4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BA-546E-4CE8-AA85-FC3BEB0ACA6F}"/>
            </c:ext>
          </c:extLst>
        </c:ser>
        <c:ser>
          <c:idx val="6"/>
          <c:order val="6"/>
          <c:tx>
            <c:strRef>
              <c:f>'DATA TABLA'!$P$163:$P$165</c:f>
              <c:strCache>
                <c:ptCount val="1"/>
                <c:pt idx="0">
                  <c:v>Mar - 10/03/2026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5-B849-4E22-8DC9-DD6FA5CB176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7-B849-4E22-8DC9-DD6FA5CB176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9-B849-4E22-8DC9-DD6FA5CB176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B-B849-4E22-8DC9-DD6FA5CB176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5-F9BE-4412-ABD6-DEEBA55A59ED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TABLA'!$P$166:$P$171</c:f>
              <c:numCache>
                <c:formatCode>_(* #,##0.00_);_(* \(#,##0.00\);_(* "-"??_);_(@_)</c:formatCode>
                <c:ptCount val="5"/>
                <c:pt idx="1">
                  <c:v>1316.88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BB-546E-4CE8-AA85-FC3BEB0ACA6F}"/>
            </c:ext>
          </c:extLst>
        </c:ser>
        <c:ser>
          <c:idx val="7"/>
          <c:order val="7"/>
          <c:tx>
            <c:strRef>
              <c:f>'DATA TABLA'!$Q$163:$Q$165</c:f>
              <c:strCache>
                <c:ptCount val="1"/>
                <c:pt idx="0">
                  <c:v>Mar - 13/03/2026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D-B849-4E22-8DC9-DD6FA5CB176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F-B849-4E22-8DC9-DD6FA5CB176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1-B849-4E22-8DC9-DD6FA5CB176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3-B849-4E22-8DC9-DD6FA5CB176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F-F9BE-4412-ABD6-DEEBA55A59ED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TABLA'!$Q$166:$Q$171</c:f>
              <c:numCache>
                <c:formatCode>_(* #,##0.00_);_(* \(#,##0.00\);_(* "-"??_);_(@_)</c:formatCode>
                <c:ptCount val="5"/>
                <c:pt idx="0">
                  <c:v>8246.3479452054798</c:v>
                </c:pt>
                <c:pt idx="1">
                  <c:v>1172.8520547945204</c:v>
                </c:pt>
                <c:pt idx="3">
                  <c:v>3570.9041095890411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BC-546E-4CE8-AA85-FC3BEB0ACA6F}"/>
            </c:ext>
          </c:extLst>
        </c:ser>
        <c:ser>
          <c:idx val="8"/>
          <c:order val="8"/>
          <c:tx>
            <c:strRef>
              <c:f>'DATA TABLA'!$R$163:$R$165</c:f>
              <c:strCache>
                <c:ptCount val="1"/>
                <c:pt idx="0">
                  <c:v>Mar - 15/03/2026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5-B849-4E22-8DC9-DD6FA5CB176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7-B849-4E22-8DC9-DD6FA5CB176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9-B849-4E22-8DC9-DD6FA5CB176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B-B849-4E22-8DC9-DD6FA5CB176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9-F9BE-4412-ABD6-DEEBA55A59ED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TABLA'!$R$166:$R$171</c:f>
              <c:numCache>
                <c:formatCode>_(* #,##0.00_);_(* \(#,##0.00\);_(* "-"??_);_(@_)</c:formatCode>
                <c:ptCount val="5"/>
                <c:pt idx="0">
                  <c:v>2191.7808219178082</c:v>
                </c:pt>
                <c:pt idx="1">
                  <c:v>31908.154657534247</c:v>
                </c:pt>
                <c:pt idx="2">
                  <c:v>3561.6438356164385</c:v>
                </c:pt>
                <c:pt idx="3">
                  <c:v>5753.4246575342468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BD-546E-4CE8-AA85-FC3BEB0ACA6F}"/>
            </c:ext>
          </c:extLst>
        </c:ser>
        <c:ser>
          <c:idx val="9"/>
          <c:order val="9"/>
          <c:tx>
            <c:strRef>
              <c:f>'DATA TABLA'!$S$163:$S$165</c:f>
              <c:strCache>
                <c:ptCount val="1"/>
                <c:pt idx="0">
                  <c:v>Mar - 16/03/2026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D-B849-4E22-8DC9-DD6FA5CB176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F-B849-4E22-8DC9-DD6FA5CB176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1-B849-4E22-8DC9-DD6FA5CB176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3-B849-4E22-8DC9-DD6FA5CB176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3-F9BE-4412-ABD6-DEEBA55A59ED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TABLA'!$S$166:$S$171</c:f>
              <c:numCache>
                <c:formatCode>_(* #,##0.00_);_(* \(#,##0.00\);_(* "-"??_);_(@_)</c:formatCode>
                <c:ptCount val="5"/>
                <c:pt idx="1">
                  <c:v>1560.8465753424657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BE-546E-4CE8-AA85-FC3BEB0ACA6F}"/>
            </c:ext>
          </c:extLst>
        </c:ser>
        <c:ser>
          <c:idx val="10"/>
          <c:order val="10"/>
          <c:tx>
            <c:strRef>
              <c:f>'DATA TABLA'!$T$163:$T$165</c:f>
              <c:strCache>
                <c:ptCount val="1"/>
                <c:pt idx="0">
                  <c:v>Mar - 20/03/2026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5-B849-4E22-8DC9-DD6FA5CB176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7-B849-4E22-8DC9-DD6FA5CB176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9-B849-4E22-8DC9-DD6FA5CB176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B-B849-4E22-8DC9-DD6FA5CB176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D-F9BE-4412-ABD6-DEEBA55A59ED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TABLA'!$T$166:$T$171</c:f>
              <c:numCache>
                <c:formatCode>_(* #,##0.00_);_(* \(#,##0.00\);_(* "-"??_);_(@_)</c:formatCode>
                <c:ptCount val="5"/>
                <c:pt idx="3">
                  <c:v>7557.1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BF-546E-4CE8-AA85-FC3BEB0ACA6F}"/>
            </c:ext>
          </c:extLst>
        </c:ser>
        <c:ser>
          <c:idx val="11"/>
          <c:order val="11"/>
          <c:tx>
            <c:strRef>
              <c:f>'DATA TABLA'!$U$163:$U$165</c:f>
              <c:strCache>
                <c:ptCount val="1"/>
                <c:pt idx="0">
                  <c:v>Mar - 23/03/2026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D-B849-4E22-8DC9-DD6FA5CB176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F-B849-4E22-8DC9-DD6FA5CB176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1-B849-4E22-8DC9-DD6FA5CB176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3-B849-4E22-8DC9-DD6FA5CB176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7-F9BE-4412-ABD6-DEEBA55A59ED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TABLA'!$U$166:$U$171</c:f>
              <c:numCache>
                <c:formatCode>_(* #,##0.00_);_(* \(#,##0.00\);_(* "-"??_);_(@_)</c:formatCode>
                <c:ptCount val="5"/>
                <c:pt idx="1">
                  <c:v>616.43835616438355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C0-546E-4CE8-AA85-FC3BEB0ACA6F}"/>
            </c:ext>
          </c:extLst>
        </c:ser>
        <c:ser>
          <c:idx val="12"/>
          <c:order val="12"/>
          <c:tx>
            <c:strRef>
              <c:f>'DATA TABLA'!$V$163:$V$165</c:f>
              <c:strCache>
                <c:ptCount val="1"/>
                <c:pt idx="0">
                  <c:v>Mar - 24/03/2026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5-B849-4E22-8DC9-DD6FA5CB176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7-B849-4E22-8DC9-DD6FA5CB176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9-B849-4E22-8DC9-DD6FA5CB176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B-B849-4E22-8DC9-DD6FA5CB176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1-F9BE-4412-ABD6-DEEBA55A59ED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TABLA'!$V$166:$V$171</c:f>
              <c:numCache>
                <c:formatCode>_(* #,##0.00_);_(* \(#,##0.00\);_(* "-"??_);_(@_)</c:formatCode>
                <c:ptCount val="5"/>
                <c:pt idx="2">
                  <c:v>3226.953424657534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C1-546E-4CE8-AA85-FC3BEB0ACA6F}"/>
            </c:ext>
          </c:extLst>
        </c:ser>
        <c:ser>
          <c:idx val="13"/>
          <c:order val="13"/>
          <c:tx>
            <c:strRef>
              <c:f>'DATA TABLA'!$W$163:$W$165</c:f>
              <c:strCache>
                <c:ptCount val="1"/>
                <c:pt idx="0">
                  <c:v>Mar - 27/03/2026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3-8F4B-4C0E-95DF-035B27C8E3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5-8F4B-4C0E-95DF-035B27C8E3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7-8F4B-4C0E-95DF-035B27C8E3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9-8F4B-4C0E-95DF-035B27C8E3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B-8F4B-4C0E-95DF-035B27C8E39A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TABLA'!$W$166:$W$171</c:f>
              <c:numCache>
                <c:formatCode>_(* #,##0.00_);_(* \(#,##0.00\);_(* "-"??_);_(@_)</c:formatCode>
                <c:ptCount val="5"/>
                <c:pt idx="2">
                  <c:v>54124.480000000003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EA-6A2C-42D4-A789-FF9144638F37}"/>
            </c:ext>
          </c:extLst>
        </c:ser>
        <c:ser>
          <c:idx val="14"/>
          <c:order val="14"/>
          <c:tx>
            <c:strRef>
              <c:f>'DATA TABLA'!$X$163:$X$165</c:f>
              <c:strCache>
                <c:ptCount val="1"/>
                <c:pt idx="0">
                  <c:v>Mar - 29/03/2026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D-8F4B-4C0E-95DF-035B27C8E3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F-8F4B-4C0E-95DF-035B27C8E3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1-8F4B-4C0E-95DF-035B27C8E3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3-8F4B-4C0E-95DF-035B27C8E3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5-8F4B-4C0E-95DF-035B27C8E39A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TABLA'!$X$166:$X$171</c:f>
              <c:numCache>
                <c:formatCode>_(* #,##0.00_);_(* \(#,##0.00\);_(* "-"??_);_(@_)</c:formatCode>
                <c:ptCount val="5"/>
                <c:pt idx="3">
                  <c:v>5994.4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EB-6A2C-42D4-A789-FF9144638F37}"/>
            </c:ext>
          </c:extLst>
        </c:ser>
        <c:ser>
          <c:idx val="15"/>
          <c:order val="15"/>
          <c:tx>
            <c:strRef>
              <c:f>'DATA TABLA'!$Y$163:$Y$165</c:f>
              <c:strCache>
                <c:ptCount val="1"/>
                <c:pt idx="0">
                  <c:v>Mar - 30/03/2026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7-8F4B-4C0E-95DF-035B27C8E3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9-8F4B-4C0E-95DF-035B27C8E3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B-8F4B-4C0E-95DF-035B27C8E3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D-8F4B-4C0E-95DF-035B27C8E3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F-8F4B-4C0E-95DF-035B27C8E39A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TABLA'!$Y$166:$Y$171</c:f>
              <c:numCache>
                <c:formatCode>_(* #,##0.00_);_(* \(#,##0.00\);_(* "-"??_);_(@_)</c:formatCode>
                <c:ptCount val="5"/>
                <c:pt idx="2">
                  <c:v>2676.2082191780823</c:v>
                </c:pt>
                <c:pt idx="3">
                  <c:v>6269.7369863013701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EC-6A2C-42D4-A789-FF9144638F37}"/>
            </c:ext>
          </c:extLst>
        </c:ser>
        <c:ser>
          <c:idx val="16"/>
          <c:order val="16"/>
          <c:tx>
            <c:strRef>
              <c:f>'DATA TABLA'!$Z$163:$Z$165</c:f>
              <c:strCache>
                <c:ptCount val="1"/>
                <c:pt idx="0">
                  <c:v>Mar - 31/03/2026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1-8F4B-4C0E-95DF-035B27C8E3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3-8F4B-4C0E-95DF-035B27C8E3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5-8F4B-4C0E-95DF-035B27C8E3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7-8F4B-4C0E-95DF-035B27C8E3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9-8F4B-4C0E-95DF-035B27C8E39A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TABLA'!$Z$166:$Z$171</c:f>
              <c:numCache>
                <c:formatCode>_(* #,##0.00_);_(* \(#,##0.00\);_(* "-"??_);_(@_)</c:formatCode>
                <c:ptCount val="5"/>
                <c:pt idx="3">
                  <c:v>14605.698630136987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ED-6A2C-42D4-A789-FF9144638F37}"/>
            </c:ext>
          </c:extLst>
        </c:ser>
        <c:ser>
          <c:idx val="17"/>
          <c:order val="17"/>
          <c:tx>
            <c:strRef>
              <c:f>'DATA TABLA'!$AB$163:$AB$165</c:f>
              <c:strCache>
                <c:ptCount val="1"/>
                <c:pt idx="0">
                  <c:v>Abr - 1/04/2026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B-8F4B-4C0E-95DF-035B27C8E3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D-8F4B-4C0E-95DF-035B27C8E3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F-8F4B-4C0E-95DF-035B27C8E3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1-8F4B-4C0E-95DF-035B27C8E3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3-8F4B-4C0E-95DF-035B27C8E39A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TABLA'!$AB$166:$AB$171</c:f>
              <c:numCache>
                <c:formatCode>_(* #,##0.00_);_(* \(#,##0.00\);_(* "-"??_);_(@_)</c:formatCode>
                <c:ptCount val="5"/>
                <c:pt idx="0">
                  <c:v>6849.3150684931506</c:v>
                </c:pt>
                <c:pt idx="1">
                  <c:v>6849.3150684931506</c:v>
                </c:pt>
                <c:pt idx="2">
                  <c:v>4383.5616438356165</c:v>
                </c:pt>
                <c:pt idx="3">
                  <c:v>6849.3150684931506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0E-6A2C-42D4-A789-FF9144638F37}"/>
            </c:ext>
          </c:extLst>
        </c:ser>
        <c:ser>
          <c:idx val="18"/>
          <c:order val="18"/>
          <c:tx>
            <c:strRef>
              <c:f>'DATA TABLA'!$AC$163:$AC$165</c:f>
              <c:strCache>
                <c:ptCount val="1"/>
                <c:pt idx="0">
                  <c:v>Abr - 6/04/2026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5-8F4B-4C0E-95DF-035B27C8E3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7-8F4B-4C0E-95DF-035B27C8E3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9-8F4B-4C0E-95DF-035B27C8E3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B-8F4B-4C0E-95DF-035B27C8E3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D-8F4B-4C0E-95DF-035B27C8E39A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TABLA'!$AC$166:$AC$171</c:f>
              <c:numCache>
                <c:formatCode>_(* #,##0.00_);_(* \(#,##0.00\);_(* "-"??_);_(@_)</c:formatCode>
                <c:ptCount val="5"/>
                <c:pt idx="1">
                  <c:v>3947.1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0F-6A2C-42D4-A789-FF9144638F37}"/>
            </c:ext>
          </c:extLst>
        </c:ser>
        <c:ser>
          <c:idx val="19"/>
          <c:order val="19"/>
          <c:tx>
            <c:strRef>
              <c:f>'DATA TABLA'!$AD$163:$AD$165</c:f>
              <c:strCache>
                <c:ptCount val="1"/>
                <c:pt idx="0">
                  <c:v>Abr - 7/04/2026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F-8F4B-4C0E-95DF-035B27C8E3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1-8F4B-4C0E-95DF-035B27C8E3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3-8F4B-4C0E-95DF-035B27C8E3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5-8F4B-4C0E-95DF-035B27C8E3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7-8F4B-4C0E-95DF-035B27C8E39A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TABLA'!$AD$166:$AD$171</c:f>
              <c:numCache>
                <c:formatCode>_(* #,##0.00_);_(* \(#,##0.00\);_(* "-"??_);_(@_)</c:formatCode>
                <c:ptCount val="5"/>
                <c:pt idx="1">
                  <c:v>51089.698630136983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10-6A2C-42D4-A789-FF9144638F37}"/>
            </c:ext>
          </c:extLst>
        </c:ser>
        <c:ser>
          <c:idx val="20"/>
          <c:order val="20"/>
          <c:tx>
            <c:strRef>
              <c:f>'DATA TABLA'!$AE$163:$AE$165</c:f>
              <c:strCache>
                <c:ptCount val="1"/>
                <c:pt idx="0">
                  <c:v>Abr - 8/04/2026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9-8F4B-4C0E-95DF-035B27C8E3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B-8F4B-4C0E-95DF-035B27C8E3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D-8F4B-4C0E-95DF-035B27C8E3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F-8F4B-4C0E-95DF-035B27C8E3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1-8F4B-4C0E-95DF-035B27C8E39A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TABLA'!$AE$166:$AE$171</c:f>
              <c:numCache>
                <c:formatCode>_(* #,##0.00_);_(* \(#,##0.00\);_(* "-"??_);_(@_)</c:formatCode>
                <c:ptCount val="5"/>
                <c:pt idx="3">
                  <c:v>51253.29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11-6A2C-42D4-A789-FF9144638F37}"/>
            </c:ext>
          </c:extLst>
        </c:ser>
        <c:ser>
          <c:idx val="21"/>
          <c:order val="21"/>
          <c:tx>
            <c:strRef>
              <c:f>'DATA TABLA'!$AF$163:$AF$165</c:f>
              <c:strCache>
                <c:ptCount val="1"/>
                <c:pt idx="0">
                  <c:v>Abr - 13/04/2026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3-8F4B-4C0E-95DF-035B27C8E3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5-8F4B-4C0E-95DF-035B27C8E3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7-8F4B-4C0E-95DF-035B27C8E3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9-8F4B-4C0E-95DF-035B27C8E3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B-8F4B-4C0E-95DF-035B27C8E39A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TABLA'!$AF$166:$AF$171</c:f>
              <c:numCache>
                <c:formatCode>_(* #,##0.00_);_(* \(#,##0.00\);_(* "-"??_);_(@_)</c:formatCode>
                <c:ptCount val="5"/>
                <c:pt idx="0">
                  <c:v>8246.3479452054798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12-6A2C-42D4-A789-FF9144638F37}"/>
            </c:ext>
          </c:extLst>
        </c:ser>
        <c:ser>
          <c:idx val="22"/>
          <c:order val="22"/>
          <c:tx>
            <c:strRef>
              <c:f>'DATA TABLA'!$AG$163:$AG$165</c:f>
              <c:strCache>
                <c:ptCount val="1"/>
                <c:pt idx="0">
                  <c:v>Abr - 15/04/2026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D-8F4B-4C0E-95DF-035B27C8E3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F-8F4B-4C0E-95DF-035B27C8E3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1-8F4B-4C0E-95DF-035B27C8E3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3-8F4B-4C0E-95DF-035B27C8E3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5-8F4B-4C0E-95DF-035B27C8E39A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TABLA'!$AG$166:$AG$171</c:f>
              <c:numCache>
                <c:formatCode>_(* #,##0.00_);_(* \(#,##0.00\);_(* "-"??_);_(@_)</c:formatCode>
                <c:ptCount val="5"/>
                <c:pt idx="0">
                  <c:v>2191.7808219178082</c:v>
                </c:pt>
                <c:pt idx="1">
                  <c:v>7052.144657534247</c:v>
                </c:pt>
                <c:pt idx="2">
                  <c:v>3561.6438356164385</c:v>
                </c:pt>
                <c:pt idx="3">
                  <c:v>5753.4246575342468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13-6A2C-42D4-A789-FF9144638F37}"/>
            </c:ext>
          </c:extLst>
        </c:ser>
        <c:ser>
          <c:idx val="23"/>
          <c:order val="23"/>
          <c:tx>
            <c:strRef>
              <c:f>'DATA TABLA'!$AH$163:$AH$165</c:f>
              <c:strCache>
                <c:ptCount val="1"/>
                <c:pt idx="0">
                  <c:v>Abr - 19/04/2026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7-8F4B-4C0E-95DF-035B27C8E3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9-8F4B-4C0E-95DF-035B27C8E3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B-8F4B-4C0E-95DF-035B27C8E3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D-8F4B-4C0E-95DF-035B27C8E3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F-8F4B-4C0E-95DF-035B27C8E39A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TABLA'!$AH$166:$AH$171</c:f>
              <c:numCache>
                <c:formatCode>_(* #,##0.00_);_(* \(#,##0.00\);_(* "-"??_);_(@_)</c:formatCode>
                <c:ptCount val="5"/>
                <c:pt idx="1">
                  <c:v>1670.1041095890412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14-6A2C-42D4-A789-FF9144638F37}"/>
            </c:ext>
          </c:extLst>
        </c:ser>
        <c:ser>
          <c:idx val="24"/>
          <c:order val="24"/>
          <c:tx>
            <c:strRef>
              <c:f>'DATA TABLA'!$AI$163:$AI$165</c:f>
              <c:strCache>
                <c:ptCount val="1"/>
                <c:pt idx="0">
                  <c:v>Abr - 22/04/2026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1-8F4B-4C0E-95DF-035B27C8E3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3-8F4B-4C0E-95DF-035B27C8E3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5-8F4B-4C0E-95DF-035B27C8E3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7-8F4B-4C0E-95DF-035B27C8E3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9-8F4B-4C0E-95DF-035B27C8E39A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TABLA'!$AI$166:$AI$171</c:f>
              <c:numCache>
                <c:formatCode>_(* #,##0.00_);_(* \(#,##0.00\);_(* "-"??_);_(@_)</c:formatCode>
                <c:ptCount val="5"/>
                <c:pt idx="1">
                  <c:v>6499.86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15-6A2C-42D4-A789-FF9144638F37}"/>
            </c:ext>
          </c:extLst>
        </c:ser>
        <c:ser>
          <c:idx val="25"/>
          <c:order val="25"/>
          <c:tx>
            <c:strRef>
              <c:f>'DATA TABLA'!$AJ$163:$AJ$165</c:f>
              <c:strCache>
                <c:ptCount val="1"/>
                <c:pt idx="0">
                  <c:v>Abr - 24/04/2026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B-8F4B-4C0E-95DF-035B27C8E3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D-8F4B-4C0E-95DF-035B27C8E3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F-8F4B-4C0E-95DF-035B27C8E3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1-8F4B-4C0E-95DF-035B27C8E3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3-8F4B-4C0E-95DF-035B27C8E39A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TABLA'!$AJ$166:$AJ$171</c:f>
              <c:numCache>
                <c:formatCode>_(* #,##0.00_);_(* \(#,##0.00\);_(* "-"??_);_(@_)</c:formatCode>
                <c:ptCount val="5"/>
                <c:pt idx="2">
                  <c:v>30271.843424657534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16-6A2C-42D4-A789-FF9144638F37}"/>
            </c:ext>
          </c:extLst>
        </c:ser>
        <c:ser>
          <c:idx val="26"/>
          <c:order val="26"/>
          <c:tx>
            <c:strRef>
              <c:f>'DATA TABLA'!$AK$163:$AK$165</c:f>
              <c:strCache>
                <c:ptCount val="1"/>
                <c:pt idx="0">
                  <c:v>Abr - 26/04/2026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5-8F4B-4C0E-95DF-035B27C8E3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7-8F4B-4C0E-95DF-035B27C8E3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9-8F4B-4C0E-95DF-035B27C8E3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B-8F4B-4C0E-95DF-035B27C8E3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D-8F4B-4C0E-95DF-035B27C8E39A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TABLA'!$AK$166:$AK$171</c:f>
              <c:numCache>
                <c:formatCode>_(* #,##0.00_);_(* \(#,##0.00\);_(* "-"??_);_(@_)</c:formatCode>
                <c:ptCount val="5"/>
                <c:pt idx="1">
                  <c:v>43.835616438356162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17-6A2C-42D4-A789-FF9144638F37}"/>
            </c:ext>
          </c:extLst>
        </c:ser>
        <c:ser>
          <c:idx val="27"/>
          <c:order val="27"/>
          <c:tx>
            <c:strRef>
              <c:f>'DATA TABLA'!$AL$163:$AL$165</c:f>
              <c:strCache>
                <c:ptCount val="1"/>
                <c:pt idx="0">
                  <c:v>Abr - 27/04/2026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F-8F4B-4C0E-95DF-035B27C8E3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1-8F4B-4C0E-95DF-035B27C8E3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3-8F4B-4C0E-95DF-035B27C8E3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5-8F4B-4C0E-95DF-035B27C8E3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7-8F4B-4C0E-95DF-035B27C8E39A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TABLA'!$AL$166:$AL$171</c:f>
              <c:numCache>
                <c:formatCode>_(* #,##0.00_);_(* \(#,##0.00\);_(* "-"??_);_(@_)</c:formatCode>
                <c:ptCount val="5"/>
                <c:pt idx="1">
                  <c:v>3044.4</c:v>
                </c:pt>
                <c:pt idx="3">
                  <c:v>8366.39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18-6A2C-42D4-A789-FF9144638F37}"/>
            </c:ext>
          </c:extLst>
        </c:ser>
        <c:ser>
          <c:idx val="28"/>
          <c:order val="28"/>
          <c:tx>
            <c:strRef>
              <c:f>'DATA TABLA'!$AM$163:$AM$165</c:f>
              <c:strCache>
                <c:ptCount val="1"/>
                <c:pt idx="0">
                  <c:v>Abr - 28/04/2026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9-8F4B-4C0E-95DF-035B27C8E3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B-8F4B-4C0E-95DF-035B27C8E3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D-8F4B-4C0E-95DF-035B27C8E3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F-8F4B-4C0E-95DF-035B27C8E3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1-8F4B-4C0E-95DF-035B27C8E39A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TABLA'!$AM$166:$AM$171</c:f>
              <c:numCache>
                <c:formatCode>_(* #,##0.00_);_(* \(#,##0.00\);_(* "-"??_);_(@_)</c:formatCode>
                <c:ptCount val="5"/>
                <c:pt idx="3">
                  <c:v>6290.7589041095889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19-6A2C-42D4-A789-FF9144638F37}"/>
            </c:ext>
          </c:extLst>
        </c:ser>
        <c:ser>
          <c:idx val="29"/>
          <c:order val="29"/>
          <c:tx>
            <c:strRef>
              <c:f>'DATA TABLA'!$AN$163:$AN$165</c:f>
              <c:strCache>
                <c:ptCount val="1"/>
                <c:pt idx="0">
                  <c:v>Abr - 30/04/2026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3-8F4B-4C0E-95DF-035B27C8E3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5-8F4B-4C0E-95DF-035B27C8E3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7-8F4B-4C0E-95DF-035B27C8E3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9-8F4B-4C0E-95DF-035B27C8E3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B-8F4B-4C0E-95DF-035B27C8E39A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TABLA'!$AN$166:$AN$171</c:f>
              <c:numCache>
                <c:formatCode>_(* #,##0.00_);_(* \(#,##0.00\);_(* "-"??_);_(@_)</c:formatCode>
                <c:ptCount val="5"/>
                <c:pt idx="2">
                  <c:v>44497.058219178078</c:v>
                </c:pt>
                <c:pt idx="3">
                  <c:v>5475.8904109589039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1A-6A2C-42D4-A789-FF9144638F37}"/>
            </c:ext>
          </c:extLst>
        </c:ser>
        <c:ser>
          <c:idx val="30"/>
          <c:order val="30"/>
          <c:tx>
            <c:strRef>
              <c:f>'DATA TABLA'!$AP$163:$AP$165</c:f>
              <c:strCache>
                <c:ptCount val="1"/>
                <c:pt idx="0">
                  <c:v>May - 1/05/2026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D-8F4B-4C0E-95DF-035B27C8E3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F-8F4B-4C0E-95DF-035B27C8E3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1-8F4B-4C0E-95DF-035B27C8E3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3-8F4B-4C0E-95DF-035B27C8E3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5-8F4B-4C0E-95DF-035B27C8E39A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TABLA'!$AP$166:$AP$171</c:f>
              <c:numCache>
                <c:formatCode>_(* #,##0.00_);_(* \(#,##0.00\);_(* "-"??_);_(@_)</c:formatCode>
                <c:ptCount val="5"/>
                <c:pt idx="0">
                  <c:v>6849.3150684931506</c:v>
                </c:pt>
                <c:pt idx="1">
                  <c:v>6849.3150684931506</c:v>
                </c:pt>
                <c:pt idx="2">
                  <c:v>4383.5616438356165</c:v>
                </c:pt>
                <c:pt idx="3">
                  <c:v>6849.3150684931506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1B-6A2C-42D4-A789-FF9144638F37}"/>
            </c:ext>
          </c:extLst>
        </c:ser>
        <c:ser>
          <c:idx val="31"/>
          <c:order val="31"/>
          <c:tx>
            <c:strRef>
              <c:f>'DATA TABLA'!$AQ$163:$AQ$165</c:f>
              <c:strCache>
                <c:ptCount val="1"/>
                <c:pt idx="0">
                  <c:v>May - 8/05/2026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7-8F4B-4C0E-95DF-035B27C8E3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9-8F4B-4C0E-95DF-035B27C8E3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B-8F4B-4C0E-95DF-035B27C8E3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D-8F4B-4C0E-95DF-035B27C8E3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F-8F4B-4C0E-95DF-035B27C8E39A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TABLA'!$AQ$166:$AQ$171</c:f>
              <c:numCache>
                <c:formatCode>_(* #,##0.00_);_(* \(#,##0.00\);_(* "-"??_);_(@_)</c:formatCode>
                <c:ptCount val="5"/>
                <c:pt idx="1">
                  <c:v>1644.4</c:v>
                </c:pt>
                <c:pt idx="3">
                  <c:v>51253.29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1C-6A2C-42D4-A789-FF9144638F37}"/>
            </c:ext>
          </c:extLst>
        </c:ser>
        <c:ser>
          <c:idx val="32"/>
          <c:order val="32"/>
          <c:tx>
            <c:strRef>
              <c:f>'DATA TABLA'!$AR$163:$AR$165</c:f>
              <c:strCache>
                <c:ptCount val="1"/>
                <c:pt idx="0">
                  <c:v>May - 13/05/2026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1-8F4B-4C0E-95DF-035B27C8E3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3-8F4B-4C0E-95DF-035B27C8E3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5-8F4B-4C0E-95DF-035B27C8E3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7-8F4B-4C0E-95DF-035B27C8E3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9-8F4B-4C0E-95DF-035B27C8E39A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TABLA'!$AR$166:$AR$171</c:f>
              <c:numCache>
                <c:formatCode>_(* #,##0.00_);_(* \(#,##0.00\);_(* "-"??_);_(@_)</c:formatCode>
                <c:ptCount val="5"/>
                <c:pt idx="0">
                  <c:v>8246.3479452054798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1D-6A2C-42D4-A789-FF9144638F37}"/>
            </c:ext>
          </c:extLst>
        </c:ser>
        <c:ser>
          <c:idx val="33"/>
          <c:order val="33"/>
          <c:tx>
            <c:strRef>
              <c:f>'DATA TABLA'!$AS$163:$AS$165</c:f>
              <c:strCache>
                <c:ptCount val="1"/>
                <c:pt idx="0">
                  <c:v>May - 14/05/2026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B-8F4B-4C0E-95DF-035B27C8E3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D-8F4B-4C0E-95DF-035B27C8E3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F-8F4B-4C0E-95DF-035B27C8E3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1-8F4B-4C0E-95DF-035B27C8E3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3-8F4B-4C0E-95DF-035B27C8E39A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TABLA'!$AS$166:$AS$171</c:f>
              <c:numCache>
                <c:formatCode>_(* #,##0.00_);_(* \(#,##0.00\);_(* "-"??_);_(@_)</c:formatCode>
                <c:ptCount val="5"/>
                <c:pt idx="2">
                  <c:v>27239.17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1E-6A2C-42D4-A789-FF9144638F37}"/>
            </c:ext>
          </c:extLst>
        </c:ser>
        <c:ser>
          <c:idx val="34"/>
          <c:order val="34"/>
          <c:tx>
            <c:strRef>
              <c:f>'DATA TABLA'!$AT$163:$AT$165</c:f>
              <c:strCache>
                <c:ptCount val="1"/>
                <c:pt idx="0">
                  <c:v>May - 15/05/2026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5-8F4B-4C0E-95DF-035B27C8E3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7-8F4B-4C0E-95DF-035B27C8E3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9-8F4B-4C0E-95DF-035B27C8E3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B-8F4B-4C0E-95DF-035B27C8E3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D-8F4B-4C0E-95DF-035B27C8E39A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TABLA'!$AT$166:$AT$171</c:f>
              <c:numCache>
                <c:formatCode>_(* #,##0.00_);_(* \(#,##0.00\);_(* "-"??_);_(@_)</c:formatCode>
                <c:ptCount val="5"/>
                <c:pt idx="0">
                  <c:v>2191.7808219178082</c:v>
                </c:pt>
                <c:pt idx="1">
                  <c:v>5753.4246575342468</c:v>
                </c:pt>
                <c:pt idx="2">
                  <c:v>5205.4794520547948</c:v>
                </c:pt>
                <c:pt idx="3">
                  <c:v>7945.2054794520554</c:v>
                </c:pt>
                <c:pt idx="4">
                  <c:v>1917.8082191780823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1F-6A2C-42D4-A789-FF9144638F37}"/>
            </c:ext>
          </c:extLst>
        </c:ser>
        <c:ser>
          <c:idx val="35"/>
          <c:order val="35"/>
          <c:tx>
            <c:strRef>
              <c:f>'DATA TABLA'!$AU$163:$AU$165</c:f>
              <c:strCache>
                <c:ptCount val="1"/>
                <c:pt idx="0">
                  <c:v>May - 18/05/2026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F-8F4B-4C0E-95DF-035B27C8E3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1-8F4B-4C0E-95DF-035B27C8E3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3-8F4B-4C0E-95DF-035B27C8E3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5-8F4B-4C0E-95DF-035B27C8E3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7-8F4B-4C0E-95DF-035B27C8E39A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TABLA'!$AU$166:$AU$171</c:f>
              <c:numCache>
                <c:formatCode>_(* #,##0.00_);_(* \(#,##0.00\);_(* "-"??_);_(@_)</c:formatCode>
                <c:ptCount val="5"/>
                <c:pt idx="1">
                  <c:v>9097.8700000000008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20-6A2C-42D4-A789-FF9144638F37}"/>
            </c:ext>
          </c:extLst>
        </c:ser>
        <c:ser>
          <c:idx val="36"/>
          <c:order val="36"/>
          <c:tx>
            <c:strRef>
              <c:f>'DATA TABLA'!$AV$163:$AV$165</c:f>
              <c:strCache>
                <c:ptCount val="1"/>
                <c:pt idx="0">
                  <c:v>May - 19/05/2026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9-8F4B-4C0E-95DF-035B27C8E3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B-8F4B-4C0E-95DF-035B27C8E3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D-8F4B-4C0E-95DF-035B27C8E3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F-8F4B-4C0E-95DF-035B27C8E3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1-8F4B-4C0E-95DF-035B27C8E39A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TABLA'!$AV$166:$AV$171</c:f>
              <c:numCache>
                <c:formatCode>_(* #,##0.00_);_(* \(#,##0.00\);_(* "-"??_);_(@_)</c:formatCode>
                <c:ptCount val="5"/>
                <c:pt idx="1">
                  <c:v>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21-6A2C-42D4-A789-FF9144638F37}"/>
            </c:ext>
          </c:extLst>
        </c:ser>
        <c:ser>
          <c:idx val="37"/>
          <c:order val="37"/>
          <c:tx>
            <c:strRef>
              <c:f>'DATA TABLA'!$AW$163:$AW$165</c:f>
              <c:strCache>
                <c:ptCount val="1"/>
                <c:pt idx="0">
                  <c:v>May - 25/05/2026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3-8F4B-4C0E-95DF-035B27C8E3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5-8F4B-4C0E-95DF-035B27C8E3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7-8F4B-4C0E-95DF-035B27C8E3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9-8F4B-4C0E-95DF-035B27C8E3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B-8F4B-4C0E-95DF-035B27C8E39A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TABLA'!$AW$166:$AW$171</c:f>
              <c:numCache>
                <c:formatCode>_(* #,##0.00_);_(* \(#,##0.00\);_(* "-"??_);_(@_)</c:formatCode>
                <c:ptCount val="5"/>
                <c:pt idx="2">
                  <c:v>3226.953424657534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22-6A2C-42D4-A789-FF9144638F37}"/>
            </c:ext>
          </c:extLst>
        </c:ser>
        <c:ser>
          <c:idx val="38"/>
          <c:order val="38"/>
          <c:tx>
            <c:strRef>
              <c:f>'DATA TABLA'!$AX$163:$AX$165</c:f>
              <c:strCache>
                <c:ptCount val="1"/>
                <c:pt idx="0">
                  <c:v>May - 27/05/2026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D-8F4B-4C0E-95DF-035B27C8E3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F-8F4B-4C0E-95DF-035B27C8E3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1-8F4B-4C0E-95DF-035B27C8E3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3-8F4B-4C0E-95DF-035B27C8E3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5-8F4B-4C0E-95DF-035B27C8E39A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TABLA'!$AX$166:$AX$171</c:f>
              <c:numCache>
                <c:formatCode>_(* #,##0.00_);_(* \(#,##0.00\);_(* "-"??_);_(@_)</c:formatCode>
                <c:ptCount val="5"/>
                <c:pt idx="3">
                  <c:v>101.87671232876713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23-6A2C-42D4-A789-FF9144638F37}"/>
            </c:ext>
          </c:extLst>
        </c:ser>
        <c:ser>
          <c:idx val="39"/>
          <c:order val="39"/>
          <c:tx>
            <c:strRef>
              <c:f>'DATA TABLA'!$AY$163:$AY$165</c:f>
              <c:strCache>
                <c:ptCount val="1"/>
                <c:pt idx="0">
                  <c:v>May - 28/05/2026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7-8F4B-4C0E-95DF-035B27C8E3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9-8F4B-4C0E-95DF-035B27C8E3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B-8F4B-4C0E-95DF-035B27C8E3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D-8F4B-4C0E-95DF-035B27C8E3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F-8F4B-4C0E-95DF-035B27C8E39A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TABLA'!$AY$166:$AY$171</c:f>
              <c:numCache>
                <c:formatCode>_(* #,##0.00_);_(* \(#,##0.00\);_(* "-"??_);_(@_)</c:formatCode>
                <c:ptCount val="5"/>
                <c:pt idx="3">
                  <c:v>6309.5178082191787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24-6A2C-42D4-A789-FF9144638F37}"/>
            </c:ext>
          </c:extLst>
        </c:ser>
        <c:ser>
          <c:idx val="40"/>
          <c:order val="40"/>
          <c:tx>
            <c:strRef>
              <c:f>'DATA TABLA'!$AZ$163:$AZ$165</c:f>
              <c:strCache>
                <c:ptCount val="1"/>
                <c:pt idx="0">
                  <c:v>May - 29/05/2026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1-8F4B-4C0E-95DF-035B27C8E3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3-8F4B-4C0E-95DF-035B27C8E3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5-8F4B-4C0E-95DF-035B27C8E3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7-8F4B-4C0E-95DF-035B27C8E3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9-8F4B-4C0E-95DF-035B27C8E39A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TABLA'!$AZ$166:$AZ$171</c:f>
              <c:numCache>
                <c:formatCode>_(* #,##0.00_);_(* \(#,##0.00\);_(* "-"??_);_(@_)</c:formatCode>
                <c:ptCount val="5"/>
                <c:pt idx="1">
                  <c:v>82.191780821917817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25-6A2C-42D4-A789-FF9144638F37}"/>
            </c:ext>
          </c:extLst>
        </c:ser>
        <c:ser>
          <c:idx val="41"/>
          <c:order val="41"/>
          <c:tx>
            <c:strRef>
              <c:f>'DATA TABLA'!$BA$163:$BA$165</c:f>
              <c:strCache>
                <c:ptCount val="1"/>
                <c:pt idx="0">
                  <c:v>May - 30/05/2026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B-8F4B-4C0E-95DF-035B27C8E3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D-8F4B-4C0E-95DF-035B27C8E3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F-8F4B-4C0E-95DF-035B27C8E3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1-8F4B-4C0E-95DF-035B27C8E3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3-8F4B-4C0E-95DF-035B27C8E39A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TABLA'!$BA$166:$BA$171</c:f>
              <c:numCache>
                <c:formatCode>_(* #,##0.00_);_(* \(#,##0.00\);_(* "-"??_);_(@_)</c:formatCode>
                <c:ptCount val="5"/>
                <c:pt idx="2">
                  <c:v>2676.2082191780823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26-6A2C-42D4-A789-FF9144638F37}"/>
            </c:ext>
          </c:extLst>
        </c:ser>
        <c:ser>
          <c:idx val="42"/>
          <c:order val="42"/>
          <c:tx>
            <c:strRef>
              <c:f>'DATA TABLA'!$BC$163:$BC$165</c:f>
              <c:strCache>
                <c:ptCount val="1"/>
                <c:pt idx="0">
                  <c:v>Jun - 1/06/2026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5-8F4B-4C0E-95DF-035B27C8E3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7-8F4B-4C0E-95DF-035B27C8E3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9-8F4B-4C0E-95DF-035B27C8E3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B-8F4B-4C0E-95DF-035B27C8E3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D-8F4B-4C0E-95DF-035B27C8E39A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TABLA'!$BC$166:$BC$171</c:f>
              <c:numCache>
                <c:formatCode>_(* #,##0.00_);_(* \(#,##0.00\);_(* "-"??_);_(@_)</c:formatCode>
                <c:ptCount val="5"/>
                <c:pt idx="0">
                  <c:v>6849.3150684931506</c:v>
                </c:pt>
                <c:pt idx="1">
                  <c:v>6849.3150684931506</c:v>
                </c:pt>
                <c:pt idx="2">
                  <c:v>4383.5616438356165</c:v>
                </c:pt>
                <c:pt idx="3">
                  <c:v>6849.3150684931506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27-6A2C-42D4-A789-FF9144638F37}"/>
            </c:ext>
          </c:extLst>
        </c:ser>
        <c:ser>
          <c:idx val="43"/>
          <c:order val="43"/>
          <c:tx>
            <c:strRef>
              <c:f>'DATA TABLA'!$BD$163:$BD$165</c:f>
              <c:strCache>
                <c:ptCount val="1"/>
                <c:pt idx="0">
                  <c:v>Jun - 13/06/2026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F-8F4B-4C0E-95DF-035B27C8E3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1-8F4B-4C0E-95DF-035B27C8E3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3-8F4B-4C0E-95DF-035B27C8E3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5-8F4B-4C0E-95DF-035B27C8E3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7-8F4B-4C0E-95DF-035B27C8E39A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TABLA'!$BD$166:$BD$171</c:f>
              <c:numCache>
                <c:formatCode>_(* #,##0.00_);_(* \(#,##0.00\);_(* "-"??_);_(@_)</c:formatCode>
                <c:ptCount val="5"/>
                <c:pt idx="0">
                  <c:v>8246.3479452054798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28-6A2C-42D4-A789-FF9144638F37}"/>
            </c:ext>
          </c:extLst>
        </c:ser>
        <c:ser>
          <c:idx val="44"/>
          <c:order val="44"/>
          <c:tx>
            <c:strRef>
              <c:f>'DATA TABLA'!$BE$163:$BE$165</c:f>
              <c:strCache>
                <c:ptCount val="1"/>
                <c:pt idx="0">
                  <c:v>Jun - 15/06/2026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9-8F4B-4C0E-95DF-035B27C8E3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B-8F4B-4C0E-95DF-035B27C8E3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D-8F4B-4C0E-95DF-035B27C8E3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F-8F4B-4C0E-95DF-035B27C8E3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1-8F4B-4C0E-95DF-035B27C8E39A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TABLA'!$BE$166:$BE$171</c:f>
              <c:numCache>
                <c:formatCode>_(* #,##0.00_);_(* \(#,##0.00\);_(* "-"??_);_(@_)</c:formatCode>
                <c:ptCount val="5"/>
                <c:pt idx="0">
                  <c:v>2191.7808219178082</c:v>
                </c:pt>
                <c:pt idx="1">
                  <c:v>5753.4246575342468</c:v>
                </c:pt>
                <c:pt idx="2">
                  <c:v>3561.6438356164385</c:v>
                </c:pt>
                <c:pt idx="3">
                  <c:v>5753.4246575342468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29-6A2C-42D4-A789-FF9144638F37}"/>
            </c:ext>
          </c:extLst>
        </c:ser>
        <c:ser>
          <c:idx val="45"/>
          <c:order val="45"/>
          <c:tx>
            <c:strRef>
              <c:f>'DATA TABLA'!$BF$163:$BF$165</c:f>
              <c:strCache>
                <c:ptCount val="1"/>
                <c:pt idx="0">
                  <c:v>Jun - 24/06/2026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3-8F4B-4C0E-95DF-035B27C8E3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5-8F4B-4C0E-95DF-035B27C8E3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7-8F4B-4C0E-95DF-035B27C8E3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9-8F4B-4C0E-95DF-035B27C8E3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B-8F4B-4C0E-95DF-035B27C8E39A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TABLA'!$BF$166:$BF$171</c:f>
              <c:numCache>
                <c:formatCode>_(* #,##0.00_);_(* \(#,##0.00\);_(* "-"??_);_(@_)</c:formatCode>
                <c:ptCount val="5"/>
                <c:pt idx="2">
                  <c:v>3226.953424657534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2A-6A2C-42D4-A789-FF9144638F37}"/>
            </c:ext>
          </c:extLst>
        </c:ser>
        <c:ser>
          <c:idx val="46"/>
          <c:order val="46"/>
          <c:tx>
            <c:strRef>
              <c:f>'DATA TABLA'!$BG$163:$BG$165</c:f>
              <c:strCache>
                <c:ptCount val="1"/>
                <c:pt idx="0">
                  <c:v>Jun - 29/06/2026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D-8F4B-4C0E-95DF-035B27C8E3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F-8F4B-4C0E-95DF-035B27C8E3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1-8F4B-4C0E-95DF-035B27C8E3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3-8F4B-4C0E-95DF-035B27C8E3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5-8F4B-4C0E-95DF-035B27C8E39A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TABLA'!$BG$166:$BG$171</c:f>
              <c:numCache>
                <c:formatCode>_(* #,##0.00_);_(* \(#,##0.00\);_(* "-"??_);_(@_)</c:formatCode>
                <c:ptCount val="5"/>
                <c:pt idx="3">
                  <c:v>20096.438356164384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2B-6A2C-42D4-A789-FF9144638F37}"/>
            </c:ext>
          </c:extLst>
        </c:ser>
        <c:ser>
          <c:idx val="47"/>
          <c:order val="47"/>
          <c:tx>
            <c:strRef>
              <c:f>'DATA TABLA'!$BH$163:$BH$165</c:f>
              <c:strCache>
                <c:ptCount val="1"/>
                <c:pt idx="0">
                  <c:v>Jun - 30/06/2026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7-8F4B-4C0E-95DF-035B27C8E3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9-8F4B-4C0E-95DF-035B27C8E3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B-8F4B-4C0E-95DF-035B27C8E3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D-8F4B-4C0E-95DF-035B27C8E3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F-8F4B-4C0E-95DF-035B27C8E39A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TABLA'!$BH$166:$BH$171</c:f>
              <c:numCache>
                <c:formatCode>_(* #,##0.00_);_(* \(#,##0.00\);_(* "-"??_);_(@_)</c:formatCode>
                <c:ptCount val="5"/>
                <c:pt idx="2">
                  <c:v>2676.2082191780823</c:v>
                </c:pt>
                <c:pt idx="3">
                  <c:v>6427.0219178082198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2C-6A2C-42D4-A789-FF9144638F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[SALDO - FLUJO DE PAGOS 2026.xlsx]DATA TABLA!TablaDinámica7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TABLA'!$B$3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 TABLA'!$A$4:$A$8</c:f>
              <c:strCache>
                <c:ptCount val="4"/>
                <c:pt idx="0">
                  <c:v>Mar</c:v>
                </c:pt>
                <c:pt idx="1">
                  <c:v>Abr</c:v>
                </c:pt>
                <c:pt idx="2">
                  <c:v>May</c:v>
                </c:pt>
                <c:pt idx="3">
                  <c:v>Jun</c:v>
                </c:pt>
              </c:strCache>
            </c:strRef>
          </c:cat>
          <c:val>
            <c:numRef>
              <c:f>'DATA TABLA'!$B$4:$B$8</c:f>
              <c:numCache>
                <c:formatCode>#,##0.00</c:formatCode>
                <c:ptCount val="4"/>
                <c:pt idx="0">
                  <c:v>282637.05575342465</c:v>
                </c:pt>
                <c:pt idx="1">
                  <c:v>264187.07808219182</c:v>
                </c:pt>
                <c:pt idx="2">
                  <c:v>158649.03136986305</c:v>
                </c:pt>
                <c:pt idx="3">
                  <c:v>82864.75068493151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94-A44E-9646-ED40428398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4259168"/>
        <c:axId val="224259728"/>
      </c:barChart>
      <c:catAx>
        <c:axId val="22425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24259728"/>
        <c:crosses val="autoZero"/>
        <c:auto val="1"/>
        <c:lblAlgn val="ctr"/>
        <c:lblOffset val="100"/>
        <c:noMultiLvlLbl val="0"/>
      </c:catAx>
      <c:valAx>
        <c:axId val="22425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24259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[SALDO - FLUJO DE PAGOS 2026.xlsx]DATA TABLA!TablaDinámica9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'DATA TABLA'!$I$23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 TABLA'!$H$24:$H$44</c:f>
              <c:strCache>
                <c:ptCount val="20"/>
                <c:pt idx="0">
                  <c:v>ADITIVOS</c:v>
                </c:pt>
                <c:pt idx="1">
                  <c:v>ALAMBRE</c:v>
                </c:pt>
                <c:pt idx="2">
                  <c:v>DEUDA BANCOS</c:v>
                </c:pt>
                <c:pt idx="3">
                  <c:v>ETIQUETAS</c:v>
                </c:pt>
                <c:pt idx="4">
                  <c:v>GRAPAS</c:v>
                </c:pt>
                <c:pt idx="5">
                  <c:v>HILOS</c:v>
                </c:pt>
                <c:pt idx="6">
                  <c:v>IMPUESTOS</c:v>
                </c:pt>
                <c:pt idx="7">
                  <c:v>MANGAS</c:v>
                </c:pt>
                <c:pt idx="8">
                  <c:v>NOTEX</c:v>
                </c:pt>
                <c:pt idx="9">
                  <c:v>PLANILLA</c:v>
                </c:pt>
                <c:pt idx="10">
                  <c:v>SILICONA</c:v>
                </c:pt>
                <c:pt idx="11">
                  <c:v>SISAL Y CINTAS</c:v>
                </c:pt>
                <c:pt idx="12">
                  <c:v>POCKET</c:v>
                </c:pt>
                <c:pt idx="13">
                  <c:v>INTERNET</c:v>
                </c:pt>
                <c:pt idx="14">
                  <c:v>PASTAS</c:v>
                </c:pt>
                <c:pt idx="15">
                  <c:v>SOAT</c:v>
                </c:pt>
                <c:pt idx="16">
                  <c:v>PAGARE</c:v>
                </c:pt>
                <c:pt idx="17">
                  <c:v>ENTEL</c:v>
                </c:pt>
                <c:pt idx="18">
                  <c:v>CINTAS</c:v>
                </c:pt>
                <c:pt idx="19">
                  <c:v>CTS</c:v>
                </c:pt>
              </c:strCache>
            </c:strRef>
          </c:cat>
          <c:val>
            <c:numRef>
              <c:f>'DATA TABLA'!$I$24:$I$44</c:f>
              <c:numCache>
                <c:formatCode>General</c:formatCode>
                <c:ptCount val="20"/>
                <c:pt idx="0">
                  <c:v>8437</c:v>
                </c:pt>
                <c:pt idx="1">
                  <c:v>215086.49</c:v>
                </c:pt>
                <c:pt idx="2">
                  <c:v>89644.542465753417</c:v>
                </c:pt>
                <c:pt idx="3">
                  <c:v>1670.1041095890412</c:v>
                </c:pt>
                <c:pt idx="4">
                  <c:v>3201.6</c:v>
                </c:pt>
                <c:pt idx="5">
                  <c:v>2961.28</c:v>
                </c:pt>
                <c:pt idx="6">
                  <c:v>38810.095890410958</c:v>
                </c:pt>
                <c:pt idx="7">
                  <c:v>43211.040684931504</c:v>
                </c:pt>
                <c:pt idx="8">
                  <c:v>19868.78</c:v>
                </c:pt>
                <c:pt idx="9">
                  <c:v>168767.12328767127</c:v>
                </c:pt>
                <c:pt idx="10">
                  <c:v>5994.4</c:v>
                </c:pt>
                <c:pt idx="11">
                  <c:v>28459</c:v>
                </c:pt>
                <c:pt idx="12">
                  <c:v>1552</c:v>
                </c:pt>
                <c:pt idx="13">
                  <c:v>24.657534246575342</c:v>
                </c:pt>
                <c:pt idx="14">
                  <c:v>566.4</c:v>
                </c:pt>
                <c:pt idx="15">
                  <c:v>43.835616438356162</c:v>
                </c:pt>
                <c:pt idx="16">
                  <c:v>153596.27863013698</c:v>
                </c:pt>
                <c:pt idx="17">
                  <c:v>73.424657534246577</c:v>
                </c:pt>
                <c:pt idx="18">
                  <c:v>616.43835616438355</c:v>
                </c:pt>
                <c:pt idx="19">
                  <c:v>5753.4246575342468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9D-0B47-A5CB-59AD4F4D6C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24261968"/>
        <c:axId val="224262528"/>
      </c:barChart>
      <c:catAx>
        <c:axId val="224261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24262528"/>
        <c:crosses val="autoZero"/>
        <c:auto val="1"/>
        <c:lblAlgn val="ctr"/>
        <c:lblOffset val="100"/>
        <c:noMultiLvlLbl val="0"/>
      </c:catAx>
      <c:valAx>
        <c:axId val="224262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24261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[SALDO - FLUJO DE PAGOS 2026.xlsx]DATA TABLA!TablaDinámica10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'DATA TABLA'!$J$106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 TABLA'!$I$107:$I$114</c:f>
              <c:strCache>
                <c:ptCount val="7"/>
                <c:pt idx="0">
                  <c:v>BBVA</c:v>
                </c:pt>
                <c:pt idx="1">
                  <c:v>BCP</c:v>
                </c:pt>
                <c:pt idx="2">
                  <c:v>POR ACEPTAR</c:v>
                </c:pt>
                <c:pt idx="3">
                  <c:v>SCOTIABANK</c:v>
                </c:pt>
                <c:pt idx="4">
                  <c:v>POR ENVIAR</c:v>
                </c:pt>
                <c:pt idx="5">
                  <c:v>VIGILANCIA</c:v>
                </c:pt>
                <c:pt idx="6">
                  <c:v>SOCTIABANK</c:v>
                </c:pt>
              </c:strCache>
            </c:strRef>
          </c:cat>
          <c:val>
            <c:numRef>
              <c:f>'DATA TABLA'!$J$107:$J$114</c:f>
              <c:numCache>
                <c:formatCode>General</c:formatCode>
                <c:ptCount val="7"/>
                <c:pt idx="0">
                  <c:v>100017.68547945205</c:v>
                </c:pt>
                <c:pt idx="1">
                  <c:v>594070.42219178053</c:v>
                </c:pt>
                <c:pt idx="2">
                  <c:v>11593.974109589042</c:v>
                </c:pt>
                <c:pt idx="3">
                  <c:v>3570.9041095890411</c:v>
                </c:pt>
                <c:pt idx="4">
                  <c:v>73493.430000000008</c:v>
                </c:pt>
                <c:pt idx="5">
                  <c:v>1644.4</c:v>
                </c:pt>
                <c:pt idx="6">
                  <c:v>3947.1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35-6C4B-B7C1-AA4B3B525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24264768"/>
        <c:axId val="224265328"/>
      </c:barChart>
      <c:catAx>
        <c:axId val="224264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24265328"/>
        <c:crosses val="autoZero"/>
        <c:auto val="1"/>
        <c:lblAlgn val="ctr"/>
        <c:lblOffset val="100"/>
        <c:noMultiLvlLbl val="0"/>
      </c:catAx>
      <c:valAx>
        <c:axId val="224265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24264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[SALDO - FLUJO DE PAGOS 2026.xlsx]DATA TABLA!TablaDinámica1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9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9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9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9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9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9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9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9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9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9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9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7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7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7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7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7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7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7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7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7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7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7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7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7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7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0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0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0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0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0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0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0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0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0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0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0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0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0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0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7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7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7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7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7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'DATA TABLA'!$J$163:$J$165</c:f>
              <c:strCache>
                <c:ptCount val="1"/>
                <c:pt idx="0">
                  <c:v>Mar - 1/03/2026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E45-4EC2-BEE8-0E13F1E521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E45-4EC2-BEE8-0E13F1E521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E45-4EC2-BEE8-0E13F1E521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E45-4EC2-BEE8-0E13F1E521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835-4493-8F28-66592DFF89F9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TABLA'!$J$166:$J$171</c:f>
              <c:numCache>
                <c:formatCode>_(* #,##0.00_);_(* \(#,##0.00\);_(* "-"??_);_(@_)</c:formatCode>
                <c:ptCount val="5"/>
                <c:pt idx="0">
                  <c:v>6849.3150684931506</c:v>
                </c:pt>
                <c:pt idx="1">
                  <c:v>6849.3150684931506</c:v>
                </c:pt>
                <c:pt idx="2">
                  <c:v>4383.5616438356165</c:v>
                </c:pt>
                <c:pt idx="3">
                  <c:v>6849.3150684931506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D1-4AB7-B861-664117EEFB7A}"/>
            </c:ext>
          </c:extLst>
        </c:ser>
        <c:ser>
          <c:idx val="1"/>
          <c:order val="1"/>
          <c:tx>
            <c:strRef>
              <c:f>'DATA TABLA'!$K$163:$K$165</c:f>
              <c:strCache>
                <c:ptCount val="1"/>
                <c:pt idx="0">
                  <c:v>Mar - 2/03/2026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BFF-4239-A5DD-BB3EE54D86F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BFF-4239-A5DD-BB3EE54D86F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BFF-4239-A5DD-BB3EE54D86F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BFF-4239-A5DD-BB3EE54D86F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835-4493-8F28-66592DFF89F9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TABLA'!$K$166:$K$171</c:f>
              <c:numCache>
                <c:formatCode>_(* #,##0.00_);_(* \(#,##0.00\);_(* "-"??_);_(@_)</c:formatCode>
                <c:ptCount val="5"/>
                <c:pt idx="1">
                  <c:v>28459</c:v>
                </c:pt>
                <c:pt idx="3">
                  <c:v>6576.6164383561645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33A-260B-4F55-A82D-682B1195C86C}"/>
            </c:ext>
          </c:extLst>
        </c:ser>
        <c:ser>
          <c:idx val="2"/>
          <c:order val="2"/>
          <c:tx>
            <c:strRef>
              <c:f>'DATA TABLA'!$L$163:$L$165</c:f>
              <c:strCache>
                <c:ptCount val="1"/>
                <c:pt idx="0">
                  <c:v>Mar - 3/03/2026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2049-4C08-8952-FD7F48BB75D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2049-4C08-8952-FD7F48BB75D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2049-4C08-8952-FD7F48BB75D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2049-4C08-8952-FD7F48BB75D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E05E-4B8B-9FF5-7CAD7448878C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TABLA'!$L$166:$L$171</c:f>
              <c:numCache>
                <c:formatCode>_(* #,##0.00_);_(* \(#,##0.00\);_(* "-"??_);_(@_)</c:formatCode>
                <c:ptCount val="5"/>
                <c:pt idx="1">
                  <c:v>619.5</c:v>
                </c:pt>
                <c:pt idx="3">
                  <c:v>64857.1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B7-E3D6-476F-8FE2-FEB737316998}"/>
            </c:ext>
          </c:extLst>
        </c:ser>
        <c:ser>
          <c:idx val="3"/>
          <c:order val="3"/>
          <c:tx>
            <c:strRef>
              <c:f>'DATA TABLA'!$M$163:$M$165</c:f>
              <c:strCache>
                <c:ptCount val="1"/>
                <c:pt idx="0">
                  <c:v>Mar - 5/03/2026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2049-4C08-8952-FD7F48BB75D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2049-4C08-8952-FD7F48BB75D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2049-4C08-8952-FD7F48BB75D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2049-4C08-8952-FD7F48BB75D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7-E05E-4B8B-9FF5-7CAD7448878C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TABLA'!$M$166:$M$171</c:f>
              <c:numCache>
                <c:formatCode>_(* #,##0.00_);_(* \(#,##0.00\);_(* "-"??_);_(@_)</c:formatCode>
                <c:ptCount val="5"/>
                <c:pt idx="3">
                  <c:v>98.082191780821915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B8-E3D6-476F-8FE2-FEB737316998}"/>
            </c:ext>
          </c:extLst>
        </c:ser>
        <c:ser>
          <c:idx val="4"/>
          <c:order val="4"/>
          <c:tx>
            <c:strRef>
              <c:f>'DATA TABLA'!$N$163:$N$165</c:f>
              <c:strCache>
                <c:ptCount val="1"/>
                <c:pt idx="0">
                  <c:v>Mar - 7/03/2026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2049-4C08-8952-FD7F48BB75D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7-2049-4C08-8952-FD7F48BB75D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9-2049-4C08-8952-FD7F48BB75D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B-2049-4C08-8952-FD7F48BB75D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1-E05E-4B8B-9FF5-7CAD7448878C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TABLA'!$N$166:$N$171</c:f>
              <c:numCache>
                <c:formatCode>_(* #,##0.00_);_(* \(#,##0.00\);_(* "-"??_);_(@_)</c:formatCode>
                <c:ptCount val="5"/>
                <c:pt idx="2">
                  <c:v>2175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B9-E3D6-476F-8FE2-FEB737316998}"/>
            </c:ext>
          </c:extLst>
        </c:ser>
        <c:ser>
          <c:idx val="5"/>
          <c:order val="5"/>
          <c:tx>
            <c:strRef>
              <c:f>'DATA TABLA'!$O$163:$O$165</c:f>
              <c:strCache>
                <c:ptCount val="1"/>
                <c:pt idx="0">
                  <c:v>Mar - 8/03/2026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D-2049-4C08-8952-FD7F48BB75D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F-2049-4C08-8952-FD7F48BB75D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1-2049-4C08-8952-FD7F48BB75D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3-2049-4C08-8952-FD7F48BB75D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B-E05E-4B8B-9FF5-7CAD7448878C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TABLA'!$O$166:$O$171</c:f>
              <c:numCache>
                <c:formatCode>_(* #,##0.00_);_(* \(#,##0.00\);_(* "-"??_);_(@_)</c:formatCode>
                <c:ptCount val="5"/>
                <c:pt idx="1">
                  <c:v>566.4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BA-E3D6-476F-8FE2-FEB737316998}"/>
            </c:ext>
          </c:extLst>
        </c:ser>
        <c:ser>
          <c:idx val="6"/>
          <c:order val="6"/>
          <c:tx>
            <c:strRef>
              <c:f>'DATA TABLA'!$P$163:$P$165</c:f>
              <c:strCache>
                <c:ptCount val="1"/>
                <c:pt idx="0">
                  <c:v>Mar - 10/03/2026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5-2049-4C08-8952-FD7F48BB75D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7-2049-4C08-8952-FD7F48BB75D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9-2049-4C08-8952-FD7F48BB75D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B-2049-4C08-8952-FD7F48BB75D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5-E05E-4B8B-9FF5-7CAD7448878C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TABLA'!$P$166:$P$171</c:f>
              <c:numCache>
                <c:formatCode>_(* #,##0.00_);_(* \(#,##0.00\);_(* "-"??_);_(@_)</c:formatCode>
                <c:ptCount val="5"/>
                <c:pt idx="1">
                  <c:v>1316.88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BB-E3D6-476F-8FE2-FEB737316998}"/>
            </c:ext>
          </c:extLst>
        </c:ser>
        <c:ser>
          <c:idx val="7"/>
          <c:order val="7"/>
          <c:tx>
            <c:strRef>
              <c:f>'DATA TABLA'!$Q$163:$Q$165</c:f>
              <c:strCache>
                <c:ptCount val="1"/>
                <c:pt idx="0">
                  <c:v>Mar - 13/03/2026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D-2049-4C08-8952-FD7F48BB75D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F-2049-4C08-8952-FD7F48BB75D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1-2049-4C08-8952-FD7F48BB75D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3-2049-4C08-8952-FD7F48BB75D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F-E05E-4B8B-9FF5-7CAD7448878C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TABLA'!$Q$166:$Q$171</c:f>
              <c:numCache>
                <c:formatCode>_(* #,##0.00_);_(* \(#,##0.00\);_(* "-"??_);_(@_)</c:formatCode>
                <c:ptCount val="5"/>
                <c:pt idx="0">
                  <c:v>8246.3479452054798</c:v>
                </c:pt>
                <c:pt idx="1">
                  <c:v>1172.8520547945204</c:v>
                </c:pt>
                <c:pt idx="3">
                  <c:v>3570.9041095890411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BC-E3D6-476F-8FE2-FEB737316998}"/>
            </c:ext>
          </c:extLst>
        </c:ser>
        <c:ser>
          <c:idx val="8"/>
          <c:order val="8"/>
          <c:tx>
            <c:strRef>
              <c:f>'DATA TABLA'!$R$163:$R$165</c:f>
              <c:strCache>
                <c:ptCount val="1"/>
                <c:pt idx="0">
                  <c:v>Mar - 15/03/2026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5-2049-4C08-8952-FD7F48BB75D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7-2049-4C08-8952-FD7F48BB75D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9-2049-4C08-8952-FD7F48BB75D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B-2049-4C08-8952-FD7F48BB75D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9-E05E-4B8B-9FF5-7CAD7448878C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TABLA'!$R$166:$R$171</c:f>
              <c:numCache>
                <c:formatCode>_(* #,##0.00_);_(* \(#,##0.00\);_(* "-"??_);_(@_)</c:formatCode>
                <c:ptCount val="5"/>
                <c:pt idx="0">
                  <c:v>2191.7808219178082</c:v>
                </c:pt>
                <c:pt idx="1">
                  <c:v>31908.154657534247</c:v>
                </c:pt>
                <c:pt idx="2">
                  <c:v>3561.6438356164385</c:v>
                </c:pt>
                <c:pt idx="3">
                  <c:v>5753.4246575342468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BD-E3D6-476F-8FE2-FEB737316998}"/>
            </c:ext>
          </c:extLst>
        </c:ser>
        <c:ser>
          <c:idx val="9"/>
          <c:order val="9"/>
          <c:tx>
            <c:strRef>
              <c:f>'DATA TABLA'!$S$163:$S$165</c:f>
              <c:strCache>
                <c:ptCount val="1"/>
                <c:pt idx="0">
                  <c:v>Mar - 16/03/2026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D-2049-4C08-8952-FD7F48BB75D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F-2049-4C08-8952-FD7F48BB75D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1-2049-4C08-8952-FD7F48BB75D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3-2049-4C08-8952-FD7F48BB75D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3-E05E-4B8B-9FF5-7CAD7448878C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TABLA'!$S$166:$S$171</c:f>
              <c:numCache>
                <c:formatCode>_(* #,##0.00_);_(* \(#,##0.00\);_(* "-"??_);_(@_)</c:formatCode>
                <c:ptCount val="5"/>
                <c:pt idx="1">
                  <c:v>1560.8465753424657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BE-E3D6-476F-8FE2-FEB737316998}"/>
            </c:ext>
          </c:extLst>
        </c:ser>
        <c:ser>
          <c:idx val="10"/>
          <c:order val="10"/>
          <c:tx>
            <c:strRef>
              <c:f>'DATA TABLA'!$T$163:$T$165</c:f>
              <c:strCache>
                <c:ptCount val="1"/>
                <c:pt idx="0">
                  <c:v>Mar - 20/03/2026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5-2049-4C08-8952-FD7F48BB75D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7-2049-4C08-8952-FD7F48BB75D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9-2049-4C08-8952-FD7F48BB75D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B-2049-4C08-8952-FD7F48BB75D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D-E05E-4B8B-9FF5-7CAD7448878C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TABLA'!$T$166:$T$171</c:f>
              <c:numCache>
                <c:formatCode>_(* #,##0.00_);_(* \(#,##0.00\);_(* "-"??_);_(@_)</c:formatCode>
                <c:ptCount val="5"/>
                <c:pt idx="3">
                  <c:v>7557.1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BF-E3D6-476F-8FE2-FEB737316998}"/>
            </c:ext>
          </c:extLst>
        </c:ser>
        <c:ser>
          <c:idx val="11"/>
          <c:order val="11"/>
          <c:tx>
            <c:strRef>
              <c:f>'DATA TABLA'!$U$163:$U$165</c:f>
              <c:strCache>
                <c:ptCount val="1"/>
                <c:pt idx="0">
                  <c:v>Mar - 23/03/2026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D-2049-4C08-8952-FD7F48BB75D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F-2049-4C08-8952-FD7F48BB75D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1-2049-4C08-8952-FD7F48BB75D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3-2049-4C08-8952-FD7F48BB75D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7-E05E-4B8B-9FF5-7CAD7448878C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TABLA'!$U$166:$U$171</c:f>
              <c:numCache>
                <c:formatCode>_(* #,##0.00_);_(* \(#,##0.00\);_(* "-"??_);_(@_)</c:formatCode>
                <c:ptCount val="5"/>
                <c:pt idx="1">
                  <c:v>616.43835616438355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C0-E3D6-476F-8FE2-FEB737316998}"/>
            </c:ext>
          </c:extLst>
        </c:ser>
        <c:ser>
          <c:idx val="12"/>
          <c:order val="12"/>
          <c:tx>
            <c:strRef>
              <c:f>'DATA TABLA'!$V$163:$V$165</c:f>
              <c:strCache>
                <c:ptCount val="1"/>
                <c:pt idx="0">
                  <c:v>Mar - 24/03/2026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5-2049-4C08-8952-FD7F48BB75D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7-2049-4C08-8952-FD7F48BB75D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9-2049-4C08-8952-FD7F48BB75D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B-2049-4C08-8952-FD7F48BB75D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1-E05E-4B8B-9FF5-7CAD7448878C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TABLA'!$V$166:$V$171</c:f>
              <c:numCache>
                <c:formatCode>_(* #,##0.00_);_(* \(#,##0.00\);_(* "-"??_);_(@_)</c:formatCode>
                <c:ptCount val="5"/>
                <c:pt idx="2">
                  <c:v>3226.953424657534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C1-E3D6-476F-8FE2-FEB737316998}"/>
            </c:ext>
          </c:extLst>
        </c:ser>
        <c:ser>
          <c:idx val="13"/>
          <c:order val="13"/>
          <c:tx>
            <c:strRef>
              <c:f>'DATA TABLA'!$W$163:$W$165</c:f>
              <c:strCache>
                <c:ptCount val="1"/>
                <c:pt idx="0">
                  <c:v>Mar - 27/03/2026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3-6956-49D4-B63E-068623D7D6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5-6956-49D4-B63E-068623D7D6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7-6956-49D4-B63E-068623D7D6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9-6956-49D4-B63E-068623D7D6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B-6956-49D4-B63E-068623D7D620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TABLA'!$W$166:$W$171</c:f>
              <c:numCache>
                <c:formatCode>_(* #,##0.00_);_(* \(#,##0.00\);_(* "-"??_);_(@_)</c:formatCode>
                <c:ptCount val="5"/>
                <c:pt idx="2">
                  <c:v>54124.480000000003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EA-A05C-49C2-B4E5-17D09B4BDFD4}"/>
            </c:ext>
          </c:extLst>
        </c:ser>
        <c:ser>
          <c:idx val="14"/>
          <c:order val="14"/>
          <c:tx>
            <c:strRef>
              <c:f>'DATA TABLA'!$X$163:$X$165</c:f>
              <c:strCache>
                <c:ptCount val="1"/>
                <c:pt idx="0">
                  <c:v>Mar - 29/03/2026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D-6956-49D4-B63E-068623D7D6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F-6956-49D4-B63E-068623D7D6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1-6956-49D4-B63E-068623D7D6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3-6956-49D4-B63E-068623D7D6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5-6956-49D4-B63E-068623D7D620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TABLA'!$X$166:$X$171</c:f>
              <c:numCache>
                <c:formatCode>_(* #,##0.00_);_(* \(#,##0.00\);_(* "-"??_);_(@_)</c:formatCode>
                <c:ptCount val="5"/>
                <c:pt idx="3">
                  <c:v>5994.4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EB-A05C-49C2-B4E5-17D09B4BDFD4}"/>
            </c:ext>
          </c:extLst>
        </c:ser>
        <c:ser>
          <c:idx val="15"/>
          <c:order val="15"/>
          <c:tx>
            <c:strRef>
              <c:f>'DATA TABLA'!$Y$163:$Y$165</c:f>
              <c:strCache>
                <c:ptCount val="1"/>
                <c:pt idx="0">
                  <c:v>Mar - 30/03/2026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7-6956-49D4-B63E-068623D7D6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9-6956-49D4-B63E-068623D7D6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B-6956-49D4-B63E-068623D7D6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D-6956-49D4-B63E-068623D7D6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F-6956-49D4-B63E-068623D7D620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TABLA'!$Y$166:$Y$171</c:f>
              <c:numCache>
                <c:formatCode>_(* #,##0.00_);_(* \(#,##0.00\);_(* "-"??_);_(@_)</c:formatCode>
                <c:ptCount val="5"/>
                <c:pt idx="2">
                  <c:v>2676.2082191780823</c:v>
                </c:pt>
                <c:pt idx="3">
                  <c:v>6269.7369863013701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EC-A05C-49C2-B4E5-17D09B4BDFD4}"/>
            </c:ext>
          </c:extLst>
        </c:ser>
        <c:ser>
          <c:idx val="16"/>
          <c:order val="16"/>
          <c:tx>
            <c:strRef>
              <c:f>'DATA TABLA'!$Z$163:$Z$165</c:f>
              <c:strCache>
                <c:ptCount val="1"/>
                <c:pt idx="0">
                  <c:v>Mar - 31/03/2026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1-6956-49D4-B63E-068623D7D6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3-6956-49D4-B63E-068623D7D6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5-6956-49D4-B63E-068623D7D6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7-6956-49D4-B63E-068623D7D6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9-6956-49D4-B63E-068623D7D620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TABLA'!$Z$166:$Z$171</c:f>
              <c:numCache>
                <c:formatCode>_(* #,##0.00_);_(* \(#,##0.00\);_(* "-"??_);_(@_)</c:formatCode>
                <c:ptCount val="5"/>
                <c:pt idx="3">
                  <c:v>14605.698630136987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ED-A05C-49C2-B4E5-17D09B4BDFD4}"/>
            </c:ext>
          </c:extLst>
        </c:ser>
        <c:ser>
          <c:idx val="17"/>
          <c:order val="17"/>
          <c:tx>
            <c:strRef>
              <c:f>'DATA TABLA'!$AB$163:$AB$165</c:f>
              <c:strCache>
                <c:ptCount val="1"/>
                <c:pt idx="0">
                  <c:v>Abr - 1/04/2026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B-6956-49D4-B63E-068623D7D6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D-6956-49D4-B63E-068623D7D6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F-6956-49D4-B63E-068623D7D6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1-6956-49D4-B63E-068623D7D6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3-6956-49D4-B63E-068623D7D620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TABLA'!$AB$166:$AB$171</c:f>
              <c:numCache>
                <c:formatCode>_(* #,##0.00_);_(* \(#,##0.00\);_(* "-"??_);_(@_)</c:formatCode>
                <c:ptCount val="5"/>
                <c:pt idx="0">
                  <c:v>6849.3150684931506</c:v>
                </c:pt>
                <c:pt idx="1">
                  <c:v>6849.3150684931506</c:v>
                </c:pt>
                <c:pt idx="2">
                  <c:v>4383.5616438356165</c:v>
                </c:pt>
                <c:pt idx="3">
                  <c:v>6849.3150684931506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0D-A05C-49C2-B4E5-17D09B4BDFD4}"/>
            </c:ext>
          </c:extLst>
        </c:ser>
        <c:ser>
          <c:idx val="18"/>
          <c:order val="18"/>
          <c:tx>
            <c:strRef>
              <c:f>'DATA TABLA'!$AC$163:$AC$165</c:f>
              <c:strCache>
                <c:ptCount val="1"/>
                <c:pt idx="0">
                  <c:v>Abr - 6/04/2026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5-6956-49D4-B63E-068623D7D6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7-6956-49D4-B63E-068623D7D6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9-6956-49D4-B63E-068623D7D6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B-6956-49D4-B63E-068623D7D6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D-6956-49D4-B63E-068623D7D620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TABLA'!$AC$166:$AC$171</c:f>
              <c:numCache>
                <c:formatCode>_(* #,##0.00_);_(* \(#,##0.00\);_(* "-"??_);_(@_)</c:formatCode>
                <c:ptCount val="5"/>
                <c:pt idx="1">
                  <c:v>3947.1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0E-A05C-49C2-B4E5-17D09B4BDFD4}"/>
            </c:ext>
          </c:extLst>
        </c:ser>
        <c:ser>
          <c:idx val="19"/>
          <c:order val="19"/>
          <c:tx>
            <c:strRef>
              <c:f>'DATA TABLA'!$AD$163:$AD$165</c:f>
              <c:strCache>
                <c:ptCount val="1"/>
                <c:pt idx="0">
                  <c:v>Abr - 7/04/2026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F-6956-49D4-B63E-068623D7D6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1-6956-49D4-B63E-068623D7D6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3-6956-49D4-B63E-068623D7D6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5-6956-49D4-B63E-068623D7D6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7-6956-49D4-B63E-068623D7D620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TABLA'!$AD$166:$AD$171</c:f>
              <c:numCache>
                <c:formatCode>_(* #,##0.00_);_(* \(#,##0.00\);_(* "-"??_);_(@_)</c:formatCode>
                <c:ptCount val="5"/>
                <c:pt idx="1">
                  <c:v>51089.698630136983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0F-A05C-49C2-B4E5-17D09B4BDFD4}"/>
            </c:ext>
          </c:extLst>
        </c:ser>
        <c:ser>
          <c:idx val="20"/>
          <c:order val="20"/>
          <c:tx>
            <c:strRef>
              <c:f>'DATA TABLA'!$AE$163:$AE$165</c:f>
              <c:strCache>
                <c:ptCount val="1"/>
                <c:pt idx="0">
                  <c:v>Abr - 8/04/2026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9-6956-49D4-B63E-068623D7D6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B-6956-49D4-B63E-068623D7D6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D-6956-49D4-B63E-068623D7D6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F-6956-49D4-B63E-068623D7D6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1-6956-49D4-B63E-068623D7D620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TABLA'!$AE$166:$AE$171</c:f>
              <c:numCache>
                <c:formatCode>_(* #,##0.00_);_(* \(#,##0.00\);_(* "-"??_);_(@_)</c:formatCode>
                <c:ptCount val="5"/>
                <c:pt idx="3">
                  <c:v>51253.29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10-A05C-49C2-B4E5-17D09B4BDFD4}"/>
            </c:ext>
          </c:extLst>
        </c:ser>
        <c:ser>
          <c:idx val="21"/>
          <c:order val="21"/>
          <c:tx>
            <c:strRef>
              <c:f>'DATA TABLA'!$AF$163:$AF$165</c:f>
              <c:strCache>
                <c:ptCount val="1"/>
                <c:pt idx="0">
                  <c:v>Abr - 13/04/2026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3-6956-49D4-B63E-068623D7D6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5-6956-49D4-B63E-068623D7D6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7-6956-49D4-B63E-068623D7D6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9-6956-49D4-B63E-068623D7D6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B-6956-49D4-B63E-068623D7D620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TABLA'!$AF$166:$AF$171</c:f>
              <c:numCache>
                <c:formatCode>_(* #,##0.00_);_(* \(#,##0.00\);_(* "-"??_);_(@_)</c:formatCode>
                <c:ptCount val="5"/>
                <c:pt idx="0">
                  <c:v>8246.3479452054798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11-A05C-49C2-B4E5-17D09B4BDFD4}"/>
            </c:ext>
          </c:extLst>
        </c:ser>
        <c:ser>
          <c:idx val="22"/>
          <c:order val="22"/>
          <c:tx>
            <c:strRef>
              <c:f>'DATA TABLA'!$AG$163:$AG$165</c:f>
              <c:strCache>
                <c:ptCount val="1"/>
                <c:pt idx="0">
                  <c:v>Abr - 15/04/2026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D-6956-49D4-B63E-068623D7D6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F-6956-49D4-B63E-068623D7D6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1-6956-49D4-B63E-068623D7D6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3-6956-49D4-B63E-068623D7D6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5-6956-49D4-B63E-068623D7D620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TABLA'!$AG$166:$AG$171</c:f>
              <c:numCache>
                <c:formatCode>_(* #,##0.00_);_(* \(#,##0.00\);_(* "-"??_);_(@_)</c:formatCode>
                <c:ptCount val="5"/>
                <c:pt idx="0">
                  <c:v>2191.7808219178082</c:v>
                </c:pt>
                <c:pt idx="1">
                  <c:v>7052.144657534247</c:v>
                </c:pt>
                <c:pt idx="2">
                  <c:v>3561.6438356164385</c:v>
                </c:pt>
                <c:pt idx="3">
                  <c:v>5753.4246575342468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12-A05C-49C2-B4E5-17D09B4BDFD4}"/>
            </c:ext>
          </c:extLst>
        </c:ser>
        <c:ser>
          <c:idx val="23"/>
          <c:order val="23"/>
          <c:tx>
            <c:strRef>
              <c:f>'DATA TABLA'!$AH$163:$AH$165</c:f>
              <c:strCache>
                <c:ptCount val="1"/>
                <c:pt idx="0">
                  <c:v>Abr - 19/04/2026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7-6956-49D4-B63E-068623D7D6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9-6956-49D4-B63E-068623D7D6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B-6956-49D4-B63E-068623D7D6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D-6956-49D4-B63E-068623D7D6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F-6956-49D4-B63E-068623D7D620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TABLA'!$AH$166:$AH$171</c:f>
              <c:numCache>
                <c:formatCode>_(* #,##0.00_);_(* \(#,##0.00\);_(* "-"??_);_(@_)</c:formatCode>
                <c:ptCount val="5"/>
                <c:pt idx="1">
                  <c:v>1670.1041095890412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13-A05C-49C2-B4E5-17D09B4BDFD4}"/>
            </c:ext>
          </c:extLst>
        </c:ser>
        <c:ser>
          <c:idx val="24"/>
          <c:order val="24"/>
          <c:tx>
            <c:strRef>
              <c:f>'DATA TABLA'!$AI$163:$AI$165</c:f>
              <c:strCache>
                <c:ptCount val="1"/>
                <c:pt idx="0">
                  <c:v>Abr - 22/04/2026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1-6956-49D4-B63E-068623D7D6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3-6956-49D4-B63E-068623D7D6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5-6956-49D4-B63E-068623D7D6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7-6956-49D4-B63E-068623D7D6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9-6956-49D4-B63E-068623D7D620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TABLA'!$AI$166:$AI$171</c:f>
              <c:numCache>
                <c:formatCode>_(* #,##0.00_);_(* \(#,##0.00\);_(* "-"??_);_(@_)</c:formatCode>
                <c:ptCount val="5"/>
                <c:pt idx="1">
                  <c:v>6499.86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14-A05C-49C2-B4E5-17D09B4BDFD4}"/>
            </c:ext>
          </c:extLst>
        </c:ser>
        <c:ser>
          <c:idx val="25"/>
          <c:order val="25"/>
          <c:tx>
            <c:strRef>
              <c:f>'DATA TABLA'!$AJ$163:$AJ$165</c:f>
              <c:strCache>
                <c:ptCount val="1"/>
                <c:pt idx="0">
                  <c:v>Abr - 24/04/2026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B-6956-49D4-B63E-068623D7D6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D-6956-49D4-B63E-068623D7D6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F-6956-49D4-B63E-068623D7D6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1-6956-49D4-B63E-068623D7D6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3-6956-49D4-B63E-068623D7D620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TABLA'!$AJ$166:$AJ$171</c:f>
              <c:numCache>
                <c:formatCode>_(* #,##0.00_);_(* \(#,##0.00\);_(* "-"??_);_(@_)</c:formatCode>
                <c:ptCount val="5"/>
                <c:pt idx="2">
                  <c:v>30271.843424657534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15-A05C-49C2-B4E5-17D09B4BDFD4}"/>
            </c:ext>
          </c:extLst>
        </c:ser>
        <c:ser>
          <c:idx val="26"/>
          <c:order val="26"/>
          <c:tx>
            <c:strRef>
              <c:f>'DATA TABLA'!$AK$163:$AK$165</c:f>
              <c:strCache>
                <c:ptCount val="1"/>
                <c:pt idx="0">
                  <c:v>Abr - 26/04/2026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5-6956-49D4-B63E-068623D7D6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7-6956-49D4-B63E-068623D7D6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9-6956-49D4-B63E-068623D7D6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B-6956-49D4-B63E-068623D7D6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D-6956-49D4-B63E-068623D7D620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TABLA'!$AK$166:$AK$171</c:f>
              <c:numCache>
                <c:formatCode>_(* #,##0.00_);_(* \(#,##0.00\);_(* "-"??_);_(@_)</c:formatCode>
                <c:ptCount val="5"/>
                <c:pt idx="1">
                  <c:v>43.835616438356162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16-A05C-49C2-B4E5-17D09B4BDFD4}"/>
            </c:ext>
          </c:extLst>
        </c:ser>
        <c:ser>
          <c:idx val="27"/>
          <c:order val="27"/>
          <c:tx>
            <c:strRef>
              <c:f>'DATA TABLA'!$AL$163:$AL$165</c:f>
              <c:strCache>
                <c:ptCount val="1"/>
                <c:pt idx="0">
                  <c:v>Abr - 27/04/2026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F-6956-49D4-B63E-068623D7D6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1-6956-49D4-B63E-068623D7D6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3-6956-49D4-B63E-068623D7D6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5-6956-49D4-B63E-068623D7D6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7-6956-49D4-B63E-068623D7D620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TABLA'!$AL$166:$AL$171</c:f>
              <c:numCache>
                <c:formatCode>_(* #,##0.00_);_(* \(#,##0.00\);_(* "-"??_);_(@_)</c:formatCode>
                <c:ptCount val="5"/>
                <c:pt idx="1">
                  <c:v>3044.4</c:v>
                </c:pt>
                <c:pt idx="3">
                  <c:v>8366.39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17-A05C-49C2-B4E5-17D09B4BDFD4}"/>
            </c:ext>
          </c:extLst>
        </c:ser>
        <c:ser>
          <c:idx val="28"/>
          <c:order val="28"/>
          <c:tx>
            <c:strRef>
              <c:f>'DATA TABLA'!$AM$163:$AM$165</c:f>
              <c:strCache>
                <c:ptCount val="1"/>
                <c:pt idx="0">
                  <c:v>Abr - 28/04/2026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9-6956-49D4-B63E-068623D7D6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B-6956-49D4-B63E-068623D7D6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D-6956-49D4-B63E-068623D7D6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F-6956-49D4-B63E-068623D7D6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1-6956-49D4-B63E-068623D7D620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TABLA'!$AM$166:$AM$171</c:f>
              <c:numCache>
                <c:formatCode>_(* #,##0.00_);_(* \(#,##0.00\);_(* "-"??_);_(@_)</c:formatCode>
                <c:ptCount val="5"/>
                <c:pt idx="3">
                  <c:v>6290.7589041095889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18-A05C-49C2-B4E5-17D09B4BDFD4}"/>
            </c:ext>
          </c:extLst>
        </c:ser>
        <c:ser>
          <c:idx val="29"/>
          <c:order val="29"/>
          <c:tx>
            <c:strRef>
              <c:f>'DATA TABLA'!$AN$163:$AN$165</c:f>
              <c:strCache>
                <c:ptCount val="1"/>
                <c:pt idx="0">
                  <c:v>Abr - 30/04/2026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3-6956-49D4-B63E-068623D7D6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5-6956-49D4-B63E-068623D7D6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7-6956-49D4-B63E-068623D7D6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9-6956-49D4-B63E-068623D7D6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B-6956-49D4-B63E-068623D7D620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TABLA'!$AN$166:$AN$171</c:f>
              <c:numCache>
                <c:formatCode>_(* #,##0.00_);_(* \(#,##0.00\);_(* "-"??_);_(@_)</c:formatCode>
                <c:ptCount val="5"/>
                <c:pt idx="2">
                  <c:v>44497.058219178078</c:v>
                </c:pt>
                <c:pt idx="3">
                  <c:v>5475.8904109589039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19-A05C-49C2-B4E5-17D09B4BDFD4}"/>
            </c:ext>
          </c:extLst>
        </c:ser>
        <c:ser>
          <c:idx val="30"/>
          <c:order val="30"/>
          <c:tx>
            <c:strRef>
              <c:f>'DATA TABLA'!$AP$163:$AP$165</c:f>
              <c:strCache>
                <c:ptCount val="1"/>
                <c:pt idx="0">
                  <c:v>May - 1/05/2026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D-6956-49D4-B63E-068623D7D6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F-6956-49D4-B63E-068623D7D6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1-6956-49D4-B63E-068623D7D6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3-6956-49D4-B63E-068623D7D6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5-6956-49D4-B63E-068623D7D620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TABLA'!$AP$166:$AP$171</c:f>
              <c:numCache>
                <c:formatCode>_(* #,##0.00_);_(* \(#,##0.00\);_(* "-"??_);_(@_)</c:formatCode>
                <c:ptCount val="5"/>
                <c:pt idx="0">
                  <c:v>6849.3150684931506</c:v>
                </c:pt>
                <c:pt idx="1">
                  <c:v>6849.3150684931506</c:v>
                </c:pt>
                <c:pt idx="2">
                  <c:v>4383.5616438356165</c:v>
                </c:pt>
                <c:pt idx="3">
                  <c:v>6849.3150684931506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1A-A05C-49C2-B4E5-17D09B4BDFD4}"/>
            </c:ext>
          </c:extLst>
        </c:ser>
        <c:ser>
          <c:idx val="31"/>
          <c:order val="31"/>
          <c:tx>
            <c:strRef>
              <c:f>'DATA TABLA'!$AQ$163:$AQ$165</c:f>
              <c:strCache>
                <c:ptCount val="1"/>
                <c:pt idx="0">
                  <c:v>May - 8/05/2026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7-6956-49D4-B63E-068623D7D6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9-6956-49D4-B63E-068623D7D6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B-6956-49D4-B63E-068623D7D6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D-6956-49D4-B63E-068623D7D6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F-6956-49D4-B63E-068623D7D620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TABLA'!$AQ$166:$AQ$171</c:f>
              <c:numCache>
                <c:formatCode>_(* #,##0.00_);_(* \(#,##0.00\);_(* "-"??_);_(@_)</c:formatCode>
                <c:ptCount val="5"/>
                <c:pt idx="1">
                  <c:v>1644.4</c:v>
                </c:pt>
                <c:pt idx="3">
                  <c:v>51253.29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1B-A05C-49C2-B4E5-17D09B4BDFD4}"/>
            </c:ext>
          </c:extLst>
        </c:ser>
        <c:ser>
          <c:idx val="32"/>
          <c:order val="32"/>
          <c:tx>
            <c:strRef>
              <c:f>'DATA TABLA'!$AR$163:$AR$165</c:f>
              <c:strCache>
                <c:ptCount val="1"/>
                <c:pt idx="0">
                  <c:v>May - 13/05/2026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1-6956-49D4-B63E-068623D7D6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3-6956-49D4-B63E-068623D7D6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5-6956-49D4-B63E-068623D7D6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7-6956-49D4-B63E-068623D7D6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9-6956-49D4-B63E-068623D7D620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TABLA'!$AR$166:$AR$171</c:f>
              <c:numCache>
                <c:formatCode>_(* #,##0.00_);_(* \(#,##0.00\);_(* "-"??_);_(@_)</c:formatCode>
                <c:ptCount val="5"/>
                <c:pt idx="0">
                  <c:v>8246.3479452054798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1C-A05C-49C2-B4E5-17D09B4BDFD4}"/>
            </c:ext>
          </c:extLst>
        </c:ser>
        <c:ser>
          <c:idx val="33"/>
          <c:order val="33"/>
          <c:tx>
            <c:strRef>
              <c:f>'DATA TABLA'!$AS$163:$AS$165</c:f>
              <c:strCache>
                <c:ptCount val="1"/>
                <c:pt idx="0">
                  <c:v>May - 14/05/2026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B-6956-49D4-B63E-068623D7D6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D-6956-49D4-B63E-068623D7D6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F-6956-49D4-B63E-068623D7D6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1-6956-49D4-B63E-068623D7D6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3-6956-49D4-B63E-068623D7D620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TABLA'!$AS$166:$AS$171</c:f>
              <c:numCache>
                <c:formatCode>_(* #,##0.00_);_(* \(#,##0.00\);_(* "-"??_);_(@_)</c:formatCode>
                <c:ptCount val="5"/>
                <c:pt idx="2">
                  <c:v>27239.17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1D-A05C-49C2-B4E5-17D09B4BDFD4}"/>
            </c:ext>
          </c:extLst>
        </c:ser>
        <c:ser>
          <c:idx val="34"/>
          <c:order val="34"/>
          <c:tx>
            <c:strRef>
              <c:f>'DATA TABLA'!$AT$163:$AT$165</c:f>
              <c:strCache>
                <c:ptCount val="1"/>
                <c:pt idx="0">
                  <c:v>May - 15/05/2026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5-6956-49D4-B63E-068623D7D6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7-6956-49D4-B63E-068623D7D6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9-6956-49D4-B63E-068623D7D6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B-6956-49D4-B63E-068623D7D6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D-6956-49D4-B63E-068623D7D620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TABLA'!$AT$166:$AT$171</c:f>
              <c:numCache>
                <c:formatCode>_(* #,##0.00_);_(* \(#,##0.00\);_(* "-"??_);_(@_)</c:formatCode>
                <c:ptCount val="5"/>
                <c:pt idx="0">
                  <c:v>2191.7808219178082</c:v>
                </c:pt>
                <c:pt idx="1">
                  <c:v>5753.4246575342468</c:v>
                </c:pt>
                <c:pt idx="2">
                  <c:v>5205.4794520547948</c:v>
                </c:pt>
                <c:pt idx="3">
                  <c:v>7945.2054794520554</c:v>
                </c:pt>
                <c:pt idx="4">
                  <c:v>1917.8082191780823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1E-A05C-49C2-B4E5-17D09B4BDFD4}"/>
            </c:ext>
          </c:extLst>
        </c:ser>
        <c:ser>
          <c:idx val="35"/>
          <c:order val="35"/>
          <c:tx>
            <c:strRef>
              <c:f>'DATA TABLA'!$AU$163:$AU$165</c:f>
              <c:strCache>
                <c:ptCount val="1"/>
                <c:pt idx="0">
                  <c:v>May - 18/05/2026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F-6956-49D4-B63E-068623D7D6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1-6956-49D4-B63E-068623D7D6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3-6956-49D4-B63E-068623D7D6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5-6956-49D4-B63E-068623D7D6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7-6956-49D4-B63E-068623D7D620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TABLA'!$AU$166:$AU$171</c:f>
              <c:numCache>
                <c:formatCode>_(* #,##0.00_);_(* \(#,##0.00\);_(* "-"??_);_(@_)</c:formatCode>
                <c:ptCount val="5"/>
                <c:pt idx="1">
                  <c:v>9097.8700000000008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1F-A05C-49C2-B4E5-17D09B4BDFD4}"/>
            </c:ext>
          </c:extLst>
        </c:ser>
        <c:ser>
          <c:idx val="36"/>
          <c:order val="36"/>
          <c:tx>
            <c:strRef>
              <c:f>'DATA TABLA'!$AV$163:$AV$165</c:f>
              <c:strCache>
                <c:ptCount val="1"/>
                <c:pt idx="0">
                  <c:v>May - 19/05/2026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9-6956-49D4-B63E-068623D7D6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B-6956-49D4-B63E-068623D7D6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D-6956-49D4-B63E-068623D7D6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F-6956-49D4-B63E-068623D7D6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1-6956-49D4-B63E-068623D7D620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TABLA'!$AV$166:$AV$171</c:f>
              <c:numCache>
                <c:formatCode>_(* #,##0.00_);_(* \(#,##0.00\);_(* "-"??_);_(@_)</c:formatCode>
                <c:ptCount val="5"/>
                <c:pt idx="1">
                  <c:v>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20-A05C-49C2-B4E5-17D09B4BDFD4}"/>
            </c:ext>
          </c:extLst>
        </c:ser>
        <c:ser>
          <c:idx val="37"/>
          <c:order val="37"/>
          <c:tx>
            <c:strRef>
              <c:f>'DATA TABLA'!$AW$163:$AW$165</c:f>
              <c:strCache>
                <c:ptCount val="1"/>
                <c:pt idx="0">
                  <c:v>May - 25/05/2026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3-6956-49D4-B63E-068623D7D6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5-6956-49D4-B63E-068623D7D6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7-6956-49D4-B63E-068623D7D6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9-6956-49D4-B63E-068623D7D6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B-6956-49D4-B63E-068623D7D620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TABLA'!$AW$166:$AW$171</c:f>
              <c:numCache>
                <c:formatCode>_(* #,##0.00_);_(* \(#,##0.00\);_(* "-"??_);_(@_)</c:formatCode>
                <c:ptCount val="5"/>
                <c:pt idx="2">
                  <c:v>3226.953424657534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21-A05C-49C2-B4E5-17D09B4BDFD4}"/>
            </c:ext>
          </c:extLst>
        </c:ser>
        <c:ser>
          <c:idx val="38"/>
          <c:order val="38"/>
          <c:tx>
            <c:strRef>
              <c:f>'DATA TABLA'!$AX$163:$AX$165</c:f>
              <c:strCache>
                <c:ptCount val="1"/>
                <c:pt idx="0">
                  <c:v>May - 27/05/2026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D-6956-49D4-B63E-068623D7D6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F-6956-49D4-B63E-068623D7D6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1-6956-49D4-B63E-068623D7D6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3-6956-49D4-B63E-068623D7D6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5-6956-49D4-B63E-068623D7D620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TABLA'!$AX$166:$AX$171</c:f>
              <c:numCache>
                <c:formatCode>_(* #,##0.00_);_(* \(#,##0.00\);_(* "-"??_);_(@_)</c:formatCode>
                <c:ptCount val="5"/>
                <c:pt idx="3">
                  <c:v>101.87671232876713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22-A05C-49C2-B4E5-17D09B4BDFD4}"/>
            </c:ext>
          </c:extLst>
        </c:ser>
        <c:ser>
          <c:idx val="39"/>
          <c:order val="39"/>
          <c:tx>
            <c:strRef>
              <c:f>'DATA TABLA'!$AY$163:$AY$165</c:f>
              <c:strCache>
                <c:ptCount val="1"/>
                <c:pt idx="0">
                  <c:v>May - 28/05/2026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7-6956-49D4-B63E-068623D7D6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9-6956-49D4-B63E-068623D7D6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B-6956-49D4-B63E-068623D7D6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D-6956-49D4-B63E-068623D7D6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F-6956-49D4-B63E-068623D7D620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TABLA'!$AY$166:$AY$171</c:f>
              <c:numCache>
                <c:formatCode>_(* #,##0.00_);_(* \(#,##0.00\);_(* "-"??_);_(@_)</c:formatCode>
                <c:ptCount val="5"/>
                <c:pt idx="3">
                  <c:v>6309.5178082191787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23-A05C-49C2-B4E5-17D09B4BDFD4}"/>
            </c:ext>
          </c:extLst>
        </c:ser>
        <c:ser>
          <c:idx val="40"/>
          <c:order val="40"/>
          <c:tx>
            <c:strRef>
              <c:f>'DATA TABLA'!$AZ$163:$AZ$165</c:f>
              <c:strCache>
                <c:ptCount val="1"/>
                <c:pt idx="0">
                  <c:v>May - 29/05/2026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1-6956-49D4-B63E-068623D7D6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3-6956-49D4-B63E-068623D7D6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5-6956-49D4-B63E-068623D7D6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7-6956-49D4-B63E-068623D7D6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9-6956-49D4-B63E-068623D7D620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TABLA'!$AZ$166:$AZ$171</c:f>
              <c:numCache>
                <c:formatCode>_(* #,##0.00_);_(* \(#,##0.00\);_(* "-"??_);_(@_)</c:formatCode>
                <c:ptCount val="5"/>
                <c:pt idx="1">
                  <c:v>82.191780821917817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24-A05C-49C2-B4E5-17D09B4BDFD4}"/>
            </c:ext>
          </c:extLst>
        </c:ser>
        <c:ser>
          <c:idx val="41"/>
          <c:order val="41"/>
          <c:tx>
            <c:strRef>
              <c:f>'DATA TABLA'!$BA$163:$BA$165</c:f>
              <c:strCache>
                <c:ptCount val="1"/>
                <c:pt idx="0">
                  <c:v>May - 30/05/2026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B-6956-49D4-B63E-068623D7D6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D-6956-49D4-B63E-068623D7D6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F-6956-49D4-B63E-068623D7D6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1-6956-49D4-B63E-068623D7D6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3-6956-49D4-B63E-068623D7D620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TABLA'!$BA$166:$BA$171</c:f>
              <c:numCache>
                <c:formatCode>_(* #,##0.00_);_(* \(#,##0.00\);_(* "-"??_);_(@_)</c:formatCode>
                <c:ptCount val="5"/>
                <c:pt idx="2">
                  <c:v>2676.2082191780823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25-A05C-49C2-B4E5-17D09B4BDFD4}"/>
            </c:ext>
          </c:extLst>
        </c:ser>
        <c:ser>
          <c:idx val="42"/>
          <c:order val="42"/>
          <c:tx>
            <c:strRef>
              <c:f>'DATA TABLA'!$BC$163:$BC$165</c:f>
              <c:strCache>
                <c:ptCount val="1"/>
                <c:pt idx="0">
                  <c:v>Jun - 1/06/2026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5-6956-49D4-B63E-068623D7D6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7-6956-49D4-B63E-068623D7D6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9-6956-49D4-B63E-068623D7D6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B-6956-49D4-B63E-068623D7D6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D-6956-49D4-B63E-068623D7D620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TABLA'!$BC$166:$BC$171</c:f>
              <c:numCache>
                <c:formatCode>_(* #,##0.00_);_(* \(#,##0.00\);_(* "-"??_);_(@_)</c:formatCode>
                <c:ptCount val="5"/>
                <c:pt idx="0">
                  <c:v>6849.3150684931506</c:v>
                </c:pt>
                <c:pt idx="1">
                  <c:v>6849.3150684931506</c:v>
                </c:pt>
                <c:pt idx="2">
                  <c:v>4383.5616438356165</c:v>
                </c:pt>
                <c:pt idx="3">
                  <c:v>6849.3150684931506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26-A05C-49C2-B4E5-17D09B4BDFD4}"/>
            </c:ext>
          </c:extLst>
        </c:ser>
        <c:ser>
          <c:idx val="43"/>
          <c:order val="43"/>
          <c:tx>
            <c:strRef>
              <c:f>'DATA TABLA'!$BD$163:$BD$165</c:f>
              <c:strCache>
                <c:ptCount val="1"/>
                <c:pt idx="0">
                  <c:v>Jun - 13/06/2026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F-6956-49D4-B63E-068623D7D6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1-6956-49D4-B63E-068623D7D6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3-6956-49D4-B63E-068623D7D6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5-6956-49D4-B63E-068623D7D6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7-6956-49D4-B63E-068623D7D620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TABLA'!$BD$166:$BD$171</c:f>
              <c:numCache>
                <c:formatCode>_(* #,##0.00_);_(* \(#,##0.00\);_(* "-"??_);_(@_)</c:formatCode>
                <c:ptCount val="5"/>
                <c:pt idx="0">
                  <c:v>8246.3479452054798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27-A05C-49C2-B4E5-17D09B4BDFD4}"/>
            </c:ext>
          </c:extLst>
        </c:ser>
        <c:ser>
          <c:idx val="44"/>
          <c:order val="44"/>
          <c:tx>
            <c:strRef>
              <c:f>'DATA TABLA'!$BE$163:$BE$165</c:f>
              <c:strCache>
                <c:ptCount val="1"/>
                <c:pt idx="0">
                  <c:v>Jun - 15/06/2026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9-6956-49D4-B63E-068623D7D6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B-6956-49D4-B63E-068623D7D6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D-6956-49D4-B63E-068623D7D6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F-6956-49D4-B63E-068623D7D6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1-6956-49D4-B63E-068623D7D620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TABLA'!$BE$166:$BE$171</c:f>
              <c:numCache>
                <c:formatCode>_(* #,##0.00_);_(* \(#,##0.00\);_(* "-"??_);_(@_)</c:formatCode>
                <c:ptCount val="5"/>
                <c:pt idx="0">
                  <c:v>2191.7808219178082</c:v>
                </c:pt>
                <c:pt idx="1">
                  <c:v>5753.4246575342468</c:v>
                </c:pt>
                <c:pt idx="2">
                  <c:v>3561.6438356164385</c:v>
                </c:pt>
                <c:pt idx="3">
                  <c:v>5753.4246575342468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28-A05C-49C2-B4E5-17D09B4BDFD4}"/>
            </c:ext>
          </c:extLst>
        </c:ser>
        <c:ser>
          <c:idx val="45"/>
          <c:order val="45"/>
          <c:tx>
            <c:strRef>
              <c:f>'DATA TABLA'!$BF$163:$BF$165</c:f>
              <c:strCache>
                <c:ptCount val="1"/>
                <c:pt idx="0">
                  <c:v>Jun - 24/06/2026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3-6956-49D4-B63E-068623D7D6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5-6956-49D4-B63E-068623D7D6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7-6956-49D4-B63E-068623D7D6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9-6956-49D4-B63E-068623D7D6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B-6956-49D4-B63E-068623D7D620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TABLA'!$BF$166:$BF$171</c:f>
              <c:numCache>
                <c:formatCode>_(* #,##0.00_);_(* \(#,##0.00\);_(* "-"??_);_(@_)</c:formatCode>
                <c:ptCount val="5"/>
                <c:pt idx="2">
                  <c:v>3226.953424657534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29-A05C-49C2-B4E5-17D09B4BDFD4}"/>
            </c:ext>
          </c:extLst>
        </c:ser>
        <c:ser>
          <c:idx val="46"/>
          <c:order val="46"/>
          <c:tx>
            <c:strRef>
              <c:f>'DATA TABLA'!$BG$163:$BG$165</c:f>
              <c:strCache>
                <c:ptCount val="1"/>
                <c:pt idx="0">
                  <c:v>Jun - 29/06/2026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D-6956-49D4-B63E-068623D7D6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F-6956-49D4-B63E-068623D7D6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1-6956-49D4-B63E-068623D7D6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3-6956-49D4-B63E-068623D7D6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5-6956-49D4-B63E-068623D7D620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TABLA'!$BG$166:$BG$171</c:f>
              <c:numCache>
                <c:formatCode>_(* #,##0.00_);_(* \(#,##0.00\);_(* "-"??_);_(@_)</c:formatCode>
                <c:ptCount val="5"/>
                <c:pt idx="3">
                  <c:v>20096.438356164384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2A-A05C-49C2-B4E5-17D09B4BDFD4}"/>
            </c:ext>
          </c:extLst>
        </c:ser>
        <c:ser>
          <c:idx val="47"/>
          <c:order val="47"/>
          <c:tx>
            <c:strRef>
              <c:f>'DATA TABLA'!$BH$163:$BH$165</c:f>
              <c:strCache>
                <c:ptCount val="1"/>
                <c:pt idx="0">
                  <c:v>Jun - 30/06/2026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7-6956-49D4-B63E-068623D7D6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9-6956-49D4-B63E-068623D7D6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B-6956-49D4-B63E-068623D7D6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D-6956-49D4-B63E-068623D7D6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F-6956-49D4-B63E-068623D7D620}"/>
              </c:ext>
            </c:extLst>
          </c:dPt>
          <c:cat>
            <c:strRef>
              <c:f>'DATA TABLA'!$I$166:$I$171</c:f>
              <c:strCache>
                <c:ptCount val="5"/>
                <c:pt idx="0">
                  <c:v>BLACK</c:v>
                </c:pt>
                <c:pt idx="1">
                  <c:v>COLCHONES VIVE</c:v>
                </c:pt>
                <c:pt idx="2">
                  <c:v>DREAM TEAM</c:v>
                </c:pt>
                <c:pt idx="3">
                  <c:v>GRUPO ISD</c:v>
                </c:pt>
                <c:pt idx="4">
                  <c:v>VIVE</c:v>
                </c:pt>
              </c:strCache>
            </c:strRef>
          </c:cat>
          <c:val>
            <c:numRef>
              <c:f>'DATA TABLA'!$BH$166:$BH$171</c:f>
              <c:numCache>
                <c:formatCode>_(* #,##0.00_);_(* \(#,##0.00\);_(* "-"??_);_(@_)</c:formatCode>
                <c:ptCount val="5"/>
                <c:pt idx="2">
                  <c:v>2676.2082191780823</c:v>
                </c:pt>
                <c:pt idx="3">
                  <c:v>6427.0219178082198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2B-A05C-49C2-B4E5-17D09B4BDF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926353</xdr:colOff>
      <xdr:row>52</xdr:row>
      <xdr:rowOff>59765</xdr:rowOff>
    </xdr:from>
    <xdr:to>
      <xdr:col>5</xdr:col>
      <xdr:colOff>358588</xdr:colOff>
      <xdr:row>54</xdr:row>
      <xdr:rowOff>134471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3FB61712-0100-5C89-CEDB-20371AEB6517}"/>
            </a:ext>
          </a:extLst>
        </xdr:cNvPr>
        <xdr:cNvCxnSpPr/>
      </xdr:nvCxnSpPr>
      <xdr:spPr>
        <a:xfrm flipV="1">
          <a:off x="5498353" y="10526059"/>
          <a:ext cx="552823" cy="463177"/>
        </a:xfrm>
        <a:prstGeom prst="straightConnector1">
          <a:avLst/>
        </a:prstGeom>
        <a:ln w="47625"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926353</xdr:colOff>
      <xdr:row>22</xdr:row>
      <xdr:rowOff>59765</xdr:rowOff>
    </xdr:from>
    <xdr:to>
      <xdr:col>21</xdr:col>
      <xdr:colOff>358588</xdr:colOff>
      <xdr:row>24</xdr:row>
      <xdr:rowOff>134471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CAD0EC62-7327-4634-B567-B9A4ED8B9C01}"/>
            </a:ext>
          </a:extLst>
        </xdr:cNvPr>
        <xdr:cNvCxnSpPr/>
      </xdr:nvCxnSpPr>
      <xdr:spPr>
        <a:xfrm flipV="1">
          <a:off x="5498353" y="10451353"/>
          <a:ext cx="545353" cy="463177"/>
        </a:xfrm>
        <a:prstGeom prst="straightConnector1">
          <a:avLst/>
        </a:prstGeom>
        <a:ln w="47625"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317499</xdr:colOff>
      <xdr:row>2</xdr:row>
      <xdr:rowOff>139699</xdr:rowOff>
    </xdr:from>
    <xdr:to>
      <xdr:col>19</xdr:col>
      <xdr:colOff>17318</xdr:colOff>
      <xdr:row>19</xdr:row>
      <xdr:rowOff>86591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305013</xdr:colOff>
      <xdr:row>27</xdr:row>
      <xdr:rowOff>162737</xdr:rowOff>
    </xdr:from>
    <xdr:to>
      <xdr:col>15</xdr:col>
      <xdr:colOff>300182</xdr:colOff>
      <xdr:row>67</xdr:row>
      <xdr:rowOff>34636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480282</xdr:colOff>
      <xdr:row>51</xdr:row>
      <xdr:rowOff>82251</xdr:rowOff>
    </xdr:from>
    <xdr:to>
      <xdr:col>27</xdr:col>
      <xdr:colOff>229508</xdr:colOff>
      <xdr:row>65</xdr:row>
      <xdr:rowOff>194053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18</xdr:col>
      <xdr:colOff>808182</xdr:colOff>
      <xdr:row>1</xdr:row>
      <xdr:rowOff>123385</xdr:rowOff>
    </xdr:from>
    <xdr:to>
      <xdr:col>32</xdr:col>
      <xdr:colOff>761999</xdr:colOff>
      <xdr:row>10</xdr:row>
      <xdr:rowOff>155864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Fecha de Vencimiento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Fecha de Vencimien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413182" y="331203"/>
              <a:ext cx="9750136" cy="190284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  <xdr:twoCellAnchor editAs="oneCell">
    <xdr:from>
      <xdr:col>24</xdr:col>
      <xdr:colOff>524109</xdr:colOff>
      <xdr:row>12</xdr:row>
      <xdr:rowOff>12533</xdr:rowOff>
    </xdr:from>
    <xdr:to>
      <xdr:col>27</xdr:col>
      <xdr:colOff>166968</xdr:colOff>
      <xdr:row>41</xdr:row>
      <xdr:rowOff>137863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PRODUCTO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474654" y="2506351"/>
              <a:ext cx="2136678" cy="610125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126284</xdr:colOff>
      <xdr:row>12</xdr:row>
      <xdr:rowOff>66634</xdr:rowOff>
    </xdr:from>
    <xdr:to>
      <xdr:col>24</xdr:col>
      <xdr:colOff>278686</xdr:colOff>
      <xdr:row>25</xdr:row>
      <xdr:rowOff>34881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CONDICION DEUDA">
              <a:extLst>
                <a:ext uri="{FF2B5EF4-FFF2-40B4-BE49-F238E27FC236}">
                  <a16:creationId xmlns:a16="http://schemas.microsoft.com/office/drawing/2014/main" id="{00000000-0008-0000-0200-000008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NDICION DEUD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414284" y="2421907"/>
              <a:ext cx="1814947" cy="251979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27</xdr:col>
      <xdr:colOff>447564</xdr:colOff>
      <xdr:row>12</xdr:row>
      <xdr:rowOff>86660</xdr:rowOff>
    </xdr:from>
    <xdr:to>
      <xdr:col>31</xdr:col>
      <xdr:colOff>58828</xdr:colOff>
      <xdr:row>31</xdr:row>
      <xdr:rowOff>111607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GIRADOR">
              <a:extLst>
                <a:ext uri="{FF2B5EF4-FFF2-40B4-BE49-F238E27FC236}">
                  <a16:creationId xmlns:a16="http://schemas.microsoft.com/office/drawing/2014/main" id="{00000000-0008-0000-0200-000009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IR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91928" y="2441933"/>
              <a:ext cx="2936355" cy="375412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198004</xdr:colOff>
      <xdr:row>26</xdr:row>
      <xdr:rowOff>98713</xdr:rowOff>
    </xdr:from>
    <xdr:to>
      <xdr:col>24</xdr:col>
      <xdr:colOff>364259</xdr:colOff>
      <xdr:row>40</xdr:row>
      <xdr:rowOff>116314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ACEPTANTE">
              <a:extLst>
                <a:ext uri="{FF2B5EF4-FFF2-40B4-BE49-F238E27FC236}">
                  <a16:creationId xmlns:a16="http://schemas.microsoft.com/office/drawing/2014/main" id="{A1E5F775-9F00-DF32-6E2D-3B4E2EBCA2A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CEPTAN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486004" y="5201804"/>
              <a:ext cx="1828800" cy="27146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16</xdr:col>
      <xdr:colOff>622011</xdr:colOff>
      <xdr:row>71</xdr:row>
      <xdr:rowOff>93806</xdr:rowOff>
    </xdr:from>
    <xdr:to>
      <xdr:col>29</xdr:col>
      <xdr:colOff>460374</xdr:colOff>
      <xdr:row>105</xdr:row>
      <xdr:rowOff>111125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2A3EC795-0EFD-4493-A354-8B42B671E5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2683933</xdr:colOff>
      <xdr:row>2</xdr:row>
      <xdr:rowOff>46566</xdr:rowOff>
    </xdr:from>
    <xdr:to>
      <xdr:col>5</xdr:col>
      <xdr:colOff>694267</xdr:colOff>
      <xdr:row>12</xdr:row>
      <xdr:rowOff>160867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258233</xdr:colOff>
      <xdr:row>22</xdr:row>
      <xdr:rowOff>12700</xdr:rowOff>
    </xdr:from>
    <xdr:to>
      <xdr:col>16</xdr:col>
      <xdr:colOff>393700</xdr:colOff>
      <xdr:row>37</xdr:row>
      <xdr:rowOff>101600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838199</xdr:colOff>
      <xdr:row>104</xdr:row>
      <xdr:rowOff>127000</xdr:rowOff>
    </xdr:from>
    <xdr:to>
      <xdr:col>14</xdr:col>
      <xdr:colOff>660400</xdr:colOff>
      <xdr:row>119</xdr:row>
      <xdr:rowOff>198966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1274233</xdr:colOff>
      <xdr:row>171</xdr:row>
      <xdr:rowOff>127000</xdr:rowOff>
    </xdr:from>
    <xdr:to>
      <xdr:col>11</xdr:col>
      <xdr:colOff>647700</xdr:colOff>
      <xdr:row>185</xdr:row>
      <xdr:rowOff>143933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39C9487-D583-AD26-3C3A-9F81FF1D14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ykel Blas" refreshedDate="46078.439541087966" createdVersion="6" refreshedVersion="8" minRefreshableVersion="3" recordCount="1029" xr:uid="{040A5AF9-144F-41AD-9F37-D973BBFE6D3B}">
  <cacheSource type="worksheet">
    <worksheetSource ref="A3:M172" sheet="DATA ORIGINAL"/>
  </cacheSource>
  <cacheFields count="16">
    <cacheField name="NUMERO UNICO" numFmtId="0">
      <sharedItems containsBlank="1" containsMixedTypes="1" containsNumber="1" containsInteger="1" minValue="2024" maxValue="3582401104"/>
    </cacheField>
    <cacheField name="Nº LETRA - FACT" numFmtId="0">
      <sharedItems containsBlank="1" containsMixedTypes="1" containsNumber="1" minValue="1.21682786" maxValue="6241635"/>
    </cacheField>
    <cacheField name="GIRADOR" numFmtId="0">
      <sharedItems containsBlank="1" count="325">
        <s v="IRIS SOLEDAD DE LA CRUZ / TERRENO - CASA"/>
        <s v="IGV IMPUESTOS"/>
        <s v="SERVICIOS GRAFICOS FA EIRL"/>
        <s v="SOAT"/>
        <s v="ACAMAR ADUANAS"/>
        <s v="SEDAPAL"/>
        <s v="BIOTEX PERU SAC"/>
        <s v="DETRACCIONES"/>
        <s v="AFP"/>
        <s v="PLUZ ENERGIA PERU SAA"/>
        <s v="COMISION / EJECUTIVOS DE VENTAS"/>
        <s v="BRENNTAG PERU SAC"/>
        <s v="RC FIL NON-TEX S.L.U."/>
        <s v="REPRESENTACIONES COMERCIALES RICHARD"/>
        <s v="MARNA PERU WORLD IMPORTS SAC"/>
        <s v="PRESTAMO BCP / 90K + 13.509 INTERES"/>
        <s v="IMPUESTOS PLANILLA"/>
        <s v="PRESTAMO BCP / DREAM TEAM DESEMBOLSADO JUNIO S/200,700"/>
        <s v="AMERIX PERUANA S.A.C."/>
        <s v="PLANILLA - HABERES"/>
        <s v="ALQUILERES IMPUESTOS"/>
        <s v="RETENCIONES / SUNAT / PROVEEDORES"/>
        <s v="MALBEZ S.R.LTDA"/>
        <s v="EUROGROUP S.A.C."/>
        <s v="RENTA IMPUESTO"/>
        <s v="FAPRICELA INDUSTRIA DE TREFILERIA S.A."/>
        <s v="GWI INVESTMENTS S.A."/>
        <s v="CAMIONETA TOYOTA RUNNER "/>
        <s v="PAGARE IMPORTACION / BCP"/>
        <s v="PRESTAMO - IMPULSO PERU / BBVA"/>
        <s v="CORDOVA MONDRAGON MARIA MAYBI"/>
        <s v="HERNAN CAMPOS CUEVA"/>
        <s v="PROTECOL S.A.C"/>
        <s v="PRESTAMO LARGO PLAZO BCP"/>
        <s v="PORTLAN PERU SAC"/>
        <s v="PRESTAMOS BCP / DES 30/12/24 - 200,700K"/>
        <s v="PRESTAMO DEL BANCO BCP / DES 09/23 - 128K"/>
        <s v="EVERLITE KOREA CO. LTD"/>
        <s v="TREFILERIA QUILLAY SAC"/>
        <s v="ONYX INTERNATIONAL SAC / S&amp;M "/>
        <s v="CORPORACION JES-NAZ EIRL"/>
        <s v="LAUREANO ROQUE S.A.C"/>
        <s v="AMERICAL MOVIL PERU SAC"/>
        <s v="GRUPO CASAMAT E.I.R.L."/>
        <s v="COINDUSTRIA SRLTDA"/>
        <s v="SAT - LIMA"/>
        <s v="SEGURO VEHICULAR"/>
        <s v="NANGTONG YONGSHENG WIRE CO. , LTD"/>
        <s v="FIBERPRO"/>
        <s v="G.R.H. IMPORTACIONES SAC"/>
        <s v="REPRESENTACIONES COMERCIALES VILLALOBOS SAC"/>
        <s v="JIA XING XINJIE IMPORT AND EXPORT CO. LTD"/>
        <s v="EFACT SAC"/>
        <s v="ENTEL"/>
        <s v="PRESTAMOS BBVA / DANIEL - TERRENO NUEVO"/>
        <s v="ITAN"/>
        <s v="VEDONA SAC"/>
        <s v="NORBRIGHT INDUSTRY CO. LTD"/>
        <s v="SUNAT IMPUESTOS NACIONALIZACION IMPORTACION"/>
        <s v="SHENZHEN GUKANGLI CHEMICAL INDUSTRY CO.  LTD"/>
        <s v="PAGARE IMPORTACION / BBVA"/>
        <s v="HENAN EME TECHNOLOGY CO. , LTD"/>
        <s v="AGENCIA DE ADUANA SION"/>
        <s v="STAR GRACE CHEMICAL (DALIAN) CO. LIMITED"/>
        <s v="OXYDE CHEMICALS CHINA LIMITED"/>
        <s v="IMPORTACION SUNAT / IMPUESTOS"/>
        <s v="JAI PLAST SRLTDA"/>
        <s v="GRATIFICACION"/>
        <s v="NINGBO HENUO INTERNATIONAL TRADE CO. LTD"/>
        <s v="BEST PORT LOGISTIC"/>
        <s v="0883907 SUMINISTRO"/>
        <s v="ADUANA / SUNAT"/>
        <s v="IMPORTADORA MASTER SAC / VEDONA"/>
        <s v="RENTA SUNAT"/>
        <s v="PROTECOL SAC"/>
        <s v="GUANGZHOU YU QI  XING TRADING COMPANY LIMITED"/>
        <s v="JMFUMEXT EIRL"/>
        <s v="VEOLOGISTICA LOGISTICA GLOBAL"/>
        <s v="RETENCION - IMPUESTOS"/>
        <s v="SHAOXING BAOZE TEXTILE CO. LTD"/>
        <s v="GUANGZHOU HONGDI NEW MATERIAL CO. LTD"/>
        <s v="BOYTEKS TEKSTIL SAN.VE TIC.AS"/>
        <s v="LAUREANO ROQUE SAC"/>
        <s v="KAIFENG CHEMICAL CO., LTD"/>
        <s v="NOVA SÜNGER  / INVERSIONES DREAM TEAM EIRL"/>
        <s v="CTS - HABERES"/>
        <s v="OTROS"/>
        <s v="TEJICROCH SAC" u="1"/>
        <s v="RECIBOS SERVICIOS PUBLICOS - LUZ - AGUA - TEL FIJO - CELULARES" u="1"/>
        <s v="BCP REACTIVA  - ISD" u="1"/>
        <s v="INVERSIONES DREAM TEAM / REPRESENTACIONES COMERCIALES RICH" u="1"/>
        <s v="ALQUILER - HERNAN DAVID CAMPOS CUEVA" u="1"/>
        <s v="BANCO CONTINENTAL DEUDA - ESTRUCTURADO" u="1"/>
        <s v="DT RENTA - MARZO" u="1"/>
        <s v="ISD / AFP" u="1"/>
        <s v="DT / AFP" u="1"/>
        <s v="BCP  2DO REACTIVA DREAM TEAM" u="1"/>
        <s v="PLANILLA - CTS" u="1"/>
        <s v="ISD / IMPUESTO PLANILLA" u="1"/>
        <s v="INVERSIONES DREAM TEAM / G.R.H. IMPORTACIONES SAC" u="1"/>
        <s v="IMPUESTO ARRENDAMIENTOS" u="1"/>
        <s v="NINGBO V AND P CHEMISTRY  CO.; LTD    " u="1"/>
        <s v="ITAN - GRUPO ISD" u="1"/>
        <s v="DT / IMPUESTOS PLANILLA" u="1"/>
        <s v="BCP  1ER REACTIVA DREAM TEAM" u="1"/>
        <s v="BANCO DE CREDITO  BCP / DREAM TEAM - 3CER PRESTAMO" u="1"/>
        <s v="ITAN - DREAM TEAM" u="1"/>
        <s v="SEGURO CAMION MERCEDEZ / INVERSIONES DREAM TEAM " u="1"/>
        <s v="DT RENTA " u="1"/>
        <s v="INVERSIONES DREAM TEAM / VEDONA S.A.C." u="1"/>
        <s v="AFP " u="1"/>
        <s v="NACIONALIZACION POLIOL" u="1"/>
        <s v="CORPORACION BOLSIPOL S.A.C." u="1"/>
        <s v="IMPUESTO PLANILLA" u="1"/>
        <s v="RENTA ISD" u="1"/>
        <s v="DT RENTA" u="1"/>
        <s v="ISD AFP" u="1"/>
        <s v="DT AFP" u="1"/>
        <s v="ISD IMPUESTOS PLANILLA" u="1"/>
        <s v="PLANILLA - GRATIFICACION" u="1"/>
        <s v="IMPUESTOS ARRENDAMIENTO" u="1"/>
        <s v="DT IMPUESTOS DE PLANILLA" u="1"/>
        <s v="FILTERTEX S.R.L." u="1"/>
        <s v="ISD RENTA / JUNIO" u="1"/>
        <s v="TDI NACIONALIZACION " u="1"/>
        <s v="CRECE CAPITAL / FILTERTEX S.R.L." u="1"/>
        <s v="JIA XING XINJIE IMPORT AND EXPORT  CO. LTD" u="1"/>
        <s v="POLIENVASES SAC" u="1"/>
        <s v="TELAS NACIONALIZACION / ETA 16/08" u="1"/>
        <s v="LABORIANO DOMINGUEZ JORGE LUIS" u="1"/>
        <s v="INVERSIONES DREAM TEAM EIRL" u="1"/>
        <s v="NACIONALIZACION SISAL Y CINTAS COLCHONERAS / ETA 21/08" u="1"/>
        <s v="ISD RENTA" u="1"/>
        <s v="RENTA DT" u="1"/>
        <s v="POLIENVASES SAC / CORPLAST CORPORACION PLASTICA E.I" u="1"/>
        <s v="RENO QUIMICOS PERU SAC" u="1"/>
        <s v="NACIONALIZACION ALAMBRE" u="1"/>
        <s v="NACIONALIZACION DE PEGAMENTO" u="1"/>
        <s v="DT IGV" u="1"/>
        <s v="RC FIL NON - TEX S.L.U / IMPORTACION - SALDO" u="1"/>
        <s v="AYDIN TEKSTIL TICARET VE PAZARLAMA A.S." u="1"/>
        <s v="NACIONALIZACION CLORURO METILENO" u="1"/>
        <s v="NACIONALIZACION TDI" u="1"/>
        <s v="NACIONALIZACION TELAS" u="1"/>
        <s v="PRESTAMO BANCO CONTINENTAL BBVA / DREAM TEAM" u="1"/>
        <s v="NOTEX NACIONALIZACION" u="1"/>
        <s v="SAT / DREAM TEAM  / IMPUESTO VEHICULAR" u="1"/>
        <s v="HENAN GP CHEMICALS CO. LTD" u="1"/>
        <s v="VEDONA SAC / INVERSIONES DREAM TEAM" u="1"/>
        <s v="RENTA DICIEMBRE" u="1"/>
        <s v="NINGBO PANGS CHEM CO. LTD" u="1"/>
        <s v="ONP - 5TA - ESSALUD" u="1"/>
        <s v="IMPUESTO ALQUILER" u="1"/>
        <s v="RENTA ENERO" u="1"/>
        <s v="INVERSIONES DREAM TEAM / G.R.H IMPORTACIONES SAC" u="1"/>
        <s v="TEJICROCH S.A.C" u="1"/>
        <s v="CUOTA CAMIONETA TOYOTA " u="1"/>
        <s v="RENTA" u="1"/>
        <s v="SHENZHEN GUKANGLI CHEMICAL INDUSTRY CO" u="1"/>
        <s v="FILTERTEX" u="1"/>
        <s v="SOTO VILLALOBOS JESUS" u="1"/>
        <s v="ENEL" u="1"/>
        <s v="COICCA CASTRO JACOB CESAR" u="1"/>
        <s v="MEREXSA SEGURIDAD" u="1"/>
        <s v="FIBER PRO" u="1"/>
        <s v="EFACT " u="1"/>
        <s v="JCC SOLUCIONES INDUSTRIALES EIRL" u="1"/>
        <s v="BLACK - IMPUESTO ALQUILERES" u="1"/>
        <s v="FATMETAL R S.R.L" u="1"/>
        <s v="GUANGZHOU YU QI XING TRADING COMPANY LIMITED" u="1"/>
        <s v="JMFUMEXT E.I.R.L" u="1"/>
        <s v="ONP " u="1"/>
        <s v="ESSALUD" u="1"/>
        <s v="TRIBUTOS ANGELICA C - DANIEL CH - DANIEL CH / ISD - DT - VIVE" u="1"/>
        <s v="IMPUESTOS" u="1"/>
        <s v="GLOBE CHEMICALS GMBH" u="1"/>
        <s v="CONSORCIO MADERERO ANTOINE EIRL" u="1"/>
        <s v="IMPORTACIONES DOBLE J SAC" u="1"/>
        <s v="ARRENDAMIENTOS IMPUESTOS" u="1"/>
        <s v=" " u="1"/>
        <s v="CLIENTES CALDAS" u="1"/>
        <s v="RIMAC SEGUROS / CAMION MERCEDEZ" u="1"/>
        <s v="ECO STEEL ASOCIADOS SAC" u="1"/>
        <s v="JAI PLAST S.R.LTDA" u="1"/>
        <s v="CLARO - MOVIL" u="1"/>
        <s v="HIDRA RYL SAC" u="1"/>
        <s v="PETROPACK SAC" u="1"/>
        <s v="PAGARE - CAPITAL DE TRABAJO" u="1"/>
        <s v="NANTONG YONGSHENG WIRE CO.,LTD." u="1"/>
        <s v="CLARO" u="1"/>
        <s v="GRATIFICACIONES " u="1"/>
        <s v="PROSINFER" u="1"/>
        <s v="INDUSTRIA DE TREFILERIA S.A." u="1"/>
        <s v="CAPITAL DE TRABAJO" u="1"/>
        <s v="   " u="1"/>
        <m u="1"/>
        <s v=" AFP - ISD" u="1"/>
        <s v="LIQUIDACION ISD / JOSE MANUEL" u="1"/>
        <s v="IMPUESTO PLANILLA DT " u="1"/>
        <s v="NORBRIGHT INDUSTRY CO.,LIMITED" u="1"/>
        <s v="BEST PORT LOGISTIC S.A.C." u="1"/>
        <s v="CTS - PERSONAL" u="1"/>
        <s v="RENTA DREAM TEAM DIC 2021" u="1"/>
        <s v="MARTINEZ MENOZA LUIS ANDRES" u="1"/>
        <s v="LIQUIDACION ISD - STEVEN ROMERO" u="1"/>
        <s v="INVERSIONES DREAM TEAM EIRL - RICHARD" u="1"/>
        <s v="MUKANG INDUSTRY (HK) LIMITED                                " u="1"/>
        <s v="ITAM 2021 DT" u="1"/>
        <s v="NACIONALIZACION - TDI - ACAMAR     ETA 02/02" u="1"/>
        <s v="IGV / ISD / JULIO 2020" u="1"/>
        <s v="NOVA SÜNGER VE YATAK SANAYI TICARET" u="1"/>
        <s v="ITAM 2020" u="1"/>
        <s v="NACIONALIZACION - PEGAMENTO" u="1"/>
        <s v="LIQUIDACION ISD / JIMMY MEZA" u="1"/>
        <s v="PORTLAND SAC" u="1"/>
        <s v="NACIONALIZACION - POLIOL - ACAMAR     ETA 15/02" u="1"/>
        <s v="ETERNUS SAC" u="1"/>
        <s v="IMPUESTOS PLANILLA - DT" u="1"/>
        <s v="OXIDE CHEMICALS CHINA LIMITED" u="1"/>
        <s v="NACIONALIZACION - ALAMBRE - ACAMAR     ETA 20/03" u="1"/>
        <s v="NACIONALIZACION - ALAMBRE - ACAMAR     ETA 23/01" u="1"/>
        <s v="SAMI TRADING INC  " u="1"/>
        <s v="IMPUESTO PLANILLA - DT" u="1"/>
        <s v="SUNAT / IMPUESTO /  RENTA" u="1"/>
        <s v="MEREXA SEGURIDAD CONTRA INCENDIOS SAC" u="1"/>
        <s v="INVERSIONES DREAM TEAN / SUNAT PRD 09/2019" u="1"/>
        <s v="IMPUESTOS ARRENDAMIENTO - CAMION / TERRENOS" u="1"/>
        <s v="VEDONA S.A.C." u="1"/>
        <s v="AFP - ISD" u="1"/>
        <s v="PLANILLA - HABERES  - LIQUIDACION" u="1"/>
        <s v="BEST PORT LOGISTIC " u="1"/>
        <s v="NINGBO PANGS CHEM CO., LTD" u="1"/>
        <s v="IGV PERIODO OCTUBRE DREAM TEAM" u="1"/>
        <s v="IMPUESTO / ARRENDAMIENTOS CAMION" u="1"/>
        <s v="BEST PORT LOGISTIC S.A.C. - DREAM TEAM" u="1"/>
        <s v="ISD IMPUESTO RENTA" u="1"/>
        <s v="GRATIFIACIONES  - HABERES" u="1"/>
        <s v="GRATIFICACIONES - HABERES" u="1"/>
        <s v="AGENTE DE ADUANA / DREAM TEAM" u="1"/>
        <s v="RENTA / DT / PERIODO OCTUBRE" u="1"/>
        <s v="IMPUESTO / RENTA / ESSALUD / ONP" u="1"/>
        <s v="LIQUIDACION ISD / JHAIR CASAS" u="1"/>
        <s v="BIOBOLSA EIRL" u="1"/>
        <s v="BERR TEXTIL PERU SAC" u="1"/>
        <s v="H&amp;Q COMERCIAL LISAGE E.I.R.L." u="1"/>
        <s v="SUR AMERICA IMPORTACIONES EIRL" u="1"/>
        <s v="BEST PORT LOGISTIC SAC / ETA  26/12" u="1"/>
        <s v="RENTA NOV DT" u="1"/>
        <s v="BEST PORT LOGISTIC SAC   ETA 01/01" u="1"/>
        <s v="IMPUESTO ISD - RENTA - PERIODO FEBRERO" u="1"/>
        <s v="IMPUESTOS PLANILLA - ISD" u="1"/>
        <s v="CORPORACION DEYJIM SAC" u="1"/>
        <s v="SERVICIOS / AGUA / LUZ" u="1"/>
        <s v="CORPORACION BIOBOLSA SAC" u="1"/>
        <s v="DT - IMPUESTOS  ONP / ESSALUD  / AFP" u="1"/>
        <s v="ALQUILER - LOCAL ISD - LOCAL PLASTICO - CAMION" u="1"/>
        <s v="SAMI TRADING INC" u="1"/>
        <s v="INVERSIONES DREAM TEAM / SUR AMERICA IMPORTACIONES EIRL" u="1"/>
        <s v="DT RENTA IMPUESTO" u="1"/>
        <s v="SHENZHEN GUKANGLI CHEMICAL INDUSTRY CO., LTD " u="1"/>
        <s v="TREFILERIA QUILLAY SAC - RICHARD" u="1"/>
        <s v="ONP / ESSALUD / AFP " u="1"/>
        <s v="BEST PORT LOGISTIC SAC   ETA 30/12" u="1"/>
        <s v="JIA XING XINJIE IMPORT AND EXPORT CO.,LTD                   " u="1"/>
        <s v="BEST PORT LOGISTIC SAC  /  ETA 02/01" u="1"/>
        <s v="PRESTAMO BCP S/ 270M" u="1"/>
        <s v="IMPUESTO / SENATI / ESSALUD" u="1"/>
        <s v="BEST PORT LOGISTIC SAC    ETA  02/01" u="1"/>
        <s v="DT IMPUESTO PLANILLA" u="1"/>
        <s v="GRATIFICACION - HABERES" u="1"/>
        <s v="IMPUESTO / SENATI / ESSALUD / AFPs" u="1"/>
        <s v="CUETO LEON EFRAIN MOISES" u="1"/>
        <s v="CIERTO CALIXTO VICTOR" u="1"/>
        <s v="IMPUESTO PLANILLA ISD" u="1"/>
        <s v="SUNAT / IGV / RENTA" u="1"/>
        <s v="IMPUESTOS ALQUILERES" u="1"/>
        <s v="SUNAT / IMPUESTO / IGV " u="1"/>
        <s v="NINGBO PANGS CHEM CO., LTD.   " u="1"/>
        <s v="DETRACCIONES  ISD" u="1"/>
        <s v="TRANSPORTE AZALIA E.I.R.L." u="1"/>
        <s v="ISD RENTA 12-2021" u="1"/>
        <s v="INVERSIONES DREAM TEAM - REPRESENTACIONES  RICHARD" u="1"/>
        <s v="MK20210309-01J" u="1"/>
        <s v="PANGS CHEM HK LIMITED" u="1"/>
        <s v="ISD - IMPUESTOS  ONP / ESSALUD / 5TA / AFP" u="1"/>
        <s v="INVERSIONES DREAM TEAM - IMPUESTOS - ONP - ESSALUD" u="1"/>
        <s v="IMPUESTO / ONP / 5TA / ITAM / SIS / ARREN ISD Y ALFA" u="1"/>
        <s v="PACKPRINT S.R.L." u="1"/>
        <s v="NACIONALIZACION - POLIOL - ACAMAR     ETA 26/03" u="1"/>
        <s v="BEST PORT LOGISTIC SAC" u="1"/>
        <s v="IMPUESTO PLANILLA - ISD" u="1"/>
        <s v="IMPUESTO / SIS" u="1"/>
        <s v="INVERSIONES DREAM TEAM - IGV - RENTA" u="1"/>
        <s v="IMPUESTO / ALQUILERES - ISD - PLASTICOS - CAMION" u="1"/>
        <s v="COMISIONES - EJECUTIVOS" u="1"/>
        <s v="LIQUIDACION ISD / JHAN CARLOS VIDAL" u="1"/>
        <s v="AUSEN INDUSTRIES(HONGKONG) CO., LIMITED" u="1"/>
        <s v="PAPELERA DEL SUR S.A." u="1"/>
        <s v="NACIONALIZACION CONTENEDOR - PEGAMENTO - ETA 15/09" u="1"/>
        <s v="IMPUESTO / ONP / 5TA / ITAM / ARREN ISD y PLASTICOS" u="1"/>
        <s v="DT / RENTA ANUAL" u="1"/>
        <s v="AFP - DT" u="1"/>
        <s v="IMPUESTO / ONP / 5TA /  ARRENDAMIENTOS / SIS" u="1"/>
        <s v="ISADAT S.A.C." u="1"/>
        <s v="RENTA / ISD / JULIO 2020" u="1"/>
        <s v="VIATICOS EJECUTIVOS VENTAS" u="1"/>
        <s v="ONP / ESSALUD / 5TA / AFP / SIS" u="1"/>
        <s v="INVERSIONES DREAM TEAN / SUNAT COACTIVA" u="1"/>
        <s v="NACIONALIZACION - TDI - ACAMAR     ETA 18/03" u="1"/>
        <s v="AUSEN INDUSTRIES (HONGKONG) CO., LIMITED                    " u="1"/>
        <s v="IMPUESTO ALQUILERES" u="1"/>
        <s v="IGV / DREAM TEAM" u="1"/>
        <s v="LIQUIDACION ISD / JONATAN NAVARRO" u="1"/>
        <s v="ALQUILERES ISD / PLASTICOS / CAMION DANIEL" u="1"/>
        <s v="IMPUESTO / AFPs" u="1"/>
        <s v="DT IMPUESTO RENTA " u="1"/>
        <s v="NOVA SÜNGER  / GRUPO ISD INDUSTRIAL SAC" u="1"/>
        <s v="ITAM 2021 ISD" u="1"/>
        <s v="CABRERA CABRERA SEGUNDO ALEJANDRO" u="1"/>
        <s v="NEGOCIACIONES MUNDO GLOBAL S.A.C." u="1"/>
        <s v="RICHWELL INTERNATIONAL TRADING LIMITED" u="1"/>
        <s v="INVERSIONES DREAM TEAM EIRL - TREAM PERU" u="1"/>
        <s v="TREAM PERU SAC" u="1"/>
        <s v="ANA CECILIA HIDALGO DAGA" u="1"/>
        <s v="AGENTE DE ADUANA / GRUPO ISD INDUSTRIAL" u="1"/>
      </sharedItems>
    </cacheField>
    <cacheField name="ACEPTANTE" numFmtId="0">
      <sharedItems containsBlank="1" count="7">
        <s v="BLACK"/>
        <s v="DREAM TEAM"/>
        <s v="COLCHONES VIVE"/>
        <s v="GRUPO ISD"/>
        <s v="ISD"/>
        <s v="VIVE"/>
        <m u="1"/>
      </sharedItems>
    </cacheField>
    <cacheField name="Fecha de Vencimiento" numFmtId="0">
      <sharedItems containsSemiMixedTypes="0" containsNonDate="0" containsDate="1" containsString="0" minDate="2022-03-23T00:00:00" maxDate="2027-05-03T00:00:00" count="1186">
        <d v="2024-07-31T00:00:00"/>
        <d v="2024-08-31T00:00:00"/>
        <d v="2024-09-30T00:00:00"/>
        <d v="2024-10-31T00:00:00"/>
        <d v="2024-11-30T00:00:00"/>
        <d v="2024-12-31T00:00:00"/>
        <d v="2025-01-03T00:00:00"/>
        <d v="2025-01-04T00:00:00"/>
        <d v="2025-01-07T00:00:00"/>
        <d v="2025-01-08T00:00:00"/>
        <d v="2025-01-10T00:00:00"/>
        <d v="2025-01-12T00:00:00"/>
        <d v="2025-01-13T00:00:00"/>
        <d v="2025-01-14T00:00:00"/>
        <d v="2025-01-15T00:00:00"/>
        <d v="2025-01-16T00:00:00"/>
        <d v="2025-01-31T00:00:00"/>
        <d v="2025-02-28T00:00:00"/>
        <d v="2024-11-07T00:00:00"/>
        <d v="2025-01-17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2-03T00:00:00"/>
        <d v="2025-02-06T00:00:00"/>
        <d v="2025-02-07T00:00:00"/>
        <d v="2025-02-08T00:00:00"/>
        <d v="2025-02-09T00:00:00"/>
        <d v="2025-02-11T00:00:00"/>
        <d v="2025-02-13T00:00:00"/>
        <d v="2025-02-14T00:00:00"/>
        <d v="2025-02-15T00:00:00"/>
        <d v="2025-02-16T00:00:00"/>
        <d v="2025-02-17T00:00:00"/>
        <d v="2025-02-19T00:00:00"/>
        <d v="2025-02-20T00:00:00"/>
        <d v="2025-02-21T00:00:00"/>
        <d v="2025-02-24T00:00:00"/>
        <d v="2025-02-25T00:00:00"/>
        <d v="2025-02-26T00:00:00"/>
        <d v="2025-03-03T00:00:00"/>
        <d v="2025-03-04T00:00:00"/>
        <d v="2025-03-05T00:00:00"/>
        <d v="2025-03-06T00:00:00"/>
        <d v="2025-03-07T00:00:00"/>
        <d v="2025-03-08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2T00:00:00"/>
        <d v="2025-04-01T00:00:00"/>
        <d v="2025-04-03T00:00:00"/>
        <d v="2025-04-05T00:00:00"/>
        <d v="2025-04-06T00:00:00"/>
        <d v="2025-04-07T00:00:00"/>
        <d v="2025-04-30T00:00:00"/>
        <d v="2025-04-08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5-31T00:00:00"/>
        <d v="2025-06-30T00:00:00"/>
        <d v="2025-07-31T00:00:00"/>
        <d v="2025-08-30T00:00:00"/>
        <d v="2025-04-28T00:00:00"/>
        <d v="2025-04-29T00:00:00"/>
        <d v="2025-05-01T00:00:00"/>
        <d v="2025-05-02T00:00:00"/>
        <d v="2025-05-03T00:00:00"/>
        <d v="2025-05-05T00:00:00"/>
        <d v="2025-05-06T00:00:00"/>
        <d v="2025-05-07T00:00:00"/>
        <d v="2025-05-08T00:00:00"/>
        <d v="2025-05-09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9T00:00:00"/>
        <d v="2025-05-20T00:00:00"/>
        <d v="2025-05-21T00:00:00"/>
        <d v="2025-05-23T00:00:00"/>
        <d v="2025-05-25T00:00:00"/>
        <d v="2025-05-26T00:00:00"/>
        <d v="2025-05-27T00:00:00"/>
        <d v="2025-05-28T00:00:00"/>
        <d v="2025-05-29T00:00:00"/>
        <d v="2025-05-30T00:00:00"/>
        <d v="2025-06-02T00:00:00"/>
        <d v="2025-06-03T00:00:00"/>
        <d v="2025-06-04T00:00:00"/>
        <d v="2025-06-05T00:00:00"/>
        <d v="2025-06-06T00:00:00"/>
        <d v="2025-06-08T00:00:00"/>
        <d v="2025-06-10T00:00:00"/>
        <d v="2025-06-11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3T00:00:00"/>
        <d v="2025-06-24T00:00:00"/>
        <d v="2025-06-25T00:00:00"/>
        <d v="2025-06-27T00:00:00"/>
        <d v="2025-06-28T00:00:00"/>
        <d v="2025-06-29T00:00:00"/>
        <d v="2025-07-01T00:00:00"/>
        <d v="2025-07-02T00:00:00"/>
        <d v="2025-07-03T00:00:00"/>
        <d v="2025-07-04T00:00:00"/>
        <d v="2025-07-05T00:00:00"/>
        <d v="2025-07-07T00:00:00"/>
        <d v="2025-07-08T00:00:00"/>
        <d v="2025-07-09T00:00:00"/>
        <d v="2025-07-11T00:00:00"/>
        <d v="2025-07-12T00:00:00"/>
        <d v="2025-07-13T00:00:00"/>
        <d v="2025-07-14T00:00:00"/>
        <d v="2025-07-15T00:00:00"/>
        <d v="2025-07-16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7T00:00:00"/>
        <d v="2025-07-30T00:00:00"/>
        <d v="2025-08-01T00:00:00"/>
        <d v="2025-08-04T00:00:00"/>
        <d v="2025-08-05T00:00:00"/>
        <d v="2025-08-07T00:00:00"/>
        <d v="2025-08-08T00:00:00"/>
        <d v="2025-08-11T00:00:00"/>
        <d v="2025-08-13T00:00:00"/>
        <d v="2025-08-14T00:00:00"/>
        <d v="2025-08-16T00:00:00"/>
        <d v="2025-08-15T00:00:00"/>
        <d v="2025-08-18T00:00:00"/>
        <d v="2025-08-19T00:00:00"/>
        <d v="2025-08-20T00:00:00"/>
        <d v="2025-08-21T00:00:00"/>
        <d v="2025-08-22T00:00:00"/>
        <d v="2025-08-23T00:00:00"/>
        <d v="2025-08-25T00:00:00"/>
        <d v="2025-08-27T00:00:00"/>
        <d v="2025-08-28T00:00:00"/>
        <d v="2025-08-29T00:00:00"/>
        <d v="2025-08-31T00:00:00"/>
        <d v="2025-09-01T00:00:00"/>
        <d v="2025-09-03T00:00:00"/>
        <d v="2025-09-02T00:00:00"/>
        <d v="2025-09-04T00:00:00"/>
        <d v="2025-09-05T00:00:00"/>
        <d v="2025-09-06T00:00:00"/>
        <d v="2025-09-08T00:00:00"/>
        <d v="2025-09-09T00:00:00"/>
        <d v="2025-09-12T00:00:00"/>
        <d v="2025-09-13T00:00:00"/>
        <d v="2025-09-15T00:00:00"/>
        <d v="2025-09-16T00:00:00"/>
        <d v="2025-09-17T00:00:00"/>
        <d v="2025-09-18T00:00:00"/>
        <d v="2025-09-19T00:00:00"/>
        <d v="2025-09-24T00:00:00"/>
        <d v="2025-09-22T00:00:00"/>
        <d v="2025-09-26T00:00:00"/>
        <d v="2025-09-28T00:00:00"/>
        <d v="2025-09-29T00:00:00"/>
        <d v="2025-09-30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3T00:00:00"/>
        <d v="2025-10-14T00:00:00"/>
        <d v="2025-10-15T00:00:00"/>
        <d v="2025-10-16T00:00:00"/>
        <d v="2025-10-17T00:00:00"/>
        <d v="2025-10-20T00:00:00"/>
        <d v="2025-10-21T00:00:00"/>
        <d v="2025-10-22T00:00:00"/>
        <d v="2025-10-23T00:00:00"/>
        <d v="2025-10-24T00:00:00"/>
        <d v="2025-10-25T00:00:00"/>
        <d v="2025-10-28T00:00:00"/>
        <d v="2025-10-27T00:00:00"/>
        <d v="2025-10-30T00:00:00"/>
        <d v="2025-10-31T00:00:00"/>
        <d v="2025-11-02T00:00:00"/>
        <d v="2025-11-03T00:00:00"/>
        <d v="2025-11-05T00:00:00"/>
        <d v="2025-11-06T00:00:00"/>
        <d v="2025-11-07T00:00:00"/>
        <d v="2025-11-08T00:00:00"/>
        <d v="2025-11-09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6T00:00:00"/>
        <d v="2025-11-24T00:00:00"/>
        <d v="2025-11-27T00:00:00"/>
        <d v="2025-11-28T00:00:00"/>
        <d v="2025-11-29T00:00:00"/>
        <d v="2025-12-01T00:00:00"/>
        <d v="2025-11-30T00:00:00"/>
        <d v="2025-12-02T00:00:00"/>
        <d v="2025-12-05T00:00:00"/>
        <d v="2025-12-06T00:00:00"/>
        <d v="2025-12-07T00:00:00"/>
        <d v="2025-12-08T00:00:00"/>
        <d v="2025-12-09T00:00:00"/>
        <d v="2025-12-10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4T00:00:00"/>
        <d v="2025-12-26T00:00:00"/>
        <d v="2025-12-29T00:00:00"/>
        <d v="2025-12-30T00:00:00"/>
        <d v="2026-01-01T00:00:00"/>
        <d v="2026-01-02T00:00:00"/>
        <d v="2026-01-03T00:00:00"/>
        <d v="2026-01-05T00:00:00"/>
        <d v="2026-01-06T00:00:00"/>
        <d v="2026-01-07T00:00:00"/>
        <d v="2026-01-08T00:00:00"/>
        <d v="2026-01-09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5T00:00:00"/>
        <d v="2026-01-26T00:00:00"/>
        <d v="2026-01-27T00:00:00"/>
        <d v="2026-01-28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5T00:00:00"/>
        <d v="2026-03-07T00:00:00"/>
        <d v="2026-03-08T00:00:00"/>
        <d v="2026-03-10T00:00:00"/>
        <d v="2026-03-13T00:00:00"/>
        <d v="2026-03-15T00:00:00"/>
        <d v="2026-03-16T00:00:00"/>
        <d v="2026-03-20T00:00:00"/>
        <d v="2026-03-23T00:00:00"/>
        <d v="2026-03-24T00:00:00"/>
        <d v="2026-03-27T00:00:00"/>
        <d v="2026-03-29T00:00:00"/>
        <d v="2026-03-30T00:00:00"/>
        <d v="2026-03-31T00:00:00"/>
        <d v="2026-04-01T00:00:00"/>
        <d v="2026-04-06T00:00:00"/>
        <d v="2026-04-07T00:00:00"/>
        <d v="2026-04-08T00:00:00"/>
        <d v="2026-04-13T00:00:00"/>
        <d v="2026-04-15T00:00:00"/>
        <d v="2026-04-19T00:00:00"/>
        <d v="2026-04-22T00:00:00"/>
        <d v="2026-04-24T00:00:00"/>
        <d v="2026-04-27T00:00:00"/>
        <d v="2026-04-26T00:00:00"/>
        <d v="2026-04-28T00:00:00"/>
        <d v="2026-04-30T00:00:00"/>
        <d v="2026-05-01T00:00:00"/>
        <d v="2026-05-08T00:00:00"/>
        <d v="2026-05-13T00:00:00"/>
        <d v="2026-05-14T00:00:00"/>
        <d v="2026-05-15T00:00:00"/>
        <d v="2026-05-18T00:00:00"/>
        <d v="2026-05-19T00:00:00"/>
        <d v="2026-05-25T00:00:00"/>
        <d v="2026-05-28T00:00:00"/>
        <d v="2026-05-27T00:00:00"/>
        <d v="2026-05-29T00:00:00"/>
        <d v="2026-05-30T00:00:00"/>
        <d v="2026-06-01T00:00:00"/>
        <d v="2026-06-13T00:00:00"/>
        <d v="2026-06-15T00:00:00"/>
        <d v="2026-06-24T00:00:00"/>
        <d v="2026-06-29T00:00:00"/>
        <d v="2026-06-30T00:00:00"/>
        <d v="2026-07-13T00:00:00"/>
        <d v="2026-07-24T00:00:00"/>
        <d v="2026-07-29T00:00:00"/>
        <d v="2026-07-30T00:00:00"/>
        <d v="2026-08-13T00:00:00"/>
        <d v="2026-08-24T00:00:00"/>
        <d v="2026-08-28T00:00:00"/>
        <d v="2026-08-30T00:00:00"/>
        <d v="2026-08-31T00:00:00"/>
        <d v="2026-09-05T00:00:00"/>
        <d v="2026-09-14T00:00:00"/>
        <d v="2026-09-24T00:00:00"/>
        <d v="2026-09-28T00:00:00"/>
        <d v="2026-09-30T00:00:00"/>
        <d v="2026-10-13T00:00:00"/>
        <d v="2026-10-24T00:00:00"/>
        <d v="2026-10-28T00:00:00"/>
        <d v="2026-10-30T00:00:00"/>
        <d v="2026-11-13T00:00:00"/>
        <d v="2026-11-24T00:00:00"/>
        <d v="2026-11-25T00:00:00"/>
        <d v="2026-11-27T00:00:00"/>
        <d v="2026-11-28T00:00:00"/>
        <d v="2026-11-30T00:00:00"/>
        <d v="2026-12-14T00:00:00"/>
        <d v="2026-12-24T00:00:00"/>
        <d v="2026-12-28T00:00:00"/>
        <d v="2026-12-30T00:00:00"/>
        <d v="2027-01-25T00:00:00"/>
        <d v="2027-02-11T00:00:00"/>
        <d v="2027-02-24T00:00:00"/>
        <d v="2027-01-02T00:00:00"/>
        <d v="2027-02-02T00:00:00"/>
        <d v="2027-03-02T00:00:00"/>
        <d v="2027-04-02T00:00:00"/>
        <d v="2027-05-02T00:00:00"/>
        <d v="2025-12-04T00:00:00" u="1"/>
        <d v="2025-11-10T00:00:00" u="1"/>
        <d v="2025-12-31T00:00:00" u="1"/>
        <d v="2025-11-23T00:00:00" u="1"/>
        <d v="2025-07-28T00:00:00" u="1"/>
        <d v="2025-08-17T00:00:00" u="1"/>
        <d v="2022-03-23T00:00:00" u="1"/>
        <d v="2022-04-16T00:00:00" u="1"/>
        <d v="2022-04-23T00:00:00" u="1"/>
        <d v="2022-04-28T00:00:00" u="1"/>
        <d v="2022-04-29T00:00:00" u="1"/>
        <d v="2022-04-30T00:00:00" u="1"/>
        <d v="2022-05-01T00:00:00" u="1"/>
        <d v="2022-05-02T00:00:00" u="1"/>
        <d v="2022-05-03T00:00:00" u="1"/>
        <d v="2022-05-06T00:00:00" u="1"/>
        <d v="2022-05-08T00:00:00" u="1"/>
        <d v="2022-05-09T00:00:00" u="1"/>
        <d v="2022-05-10T00:00:00" u="1"/>
        <d v="2022-05-13T00:00:00" u="1"/>
        <d v="2022-05-15T00:00:00" u="1"/>
        <d v="2022-05-16T00:00:00" u="1"/>
        <d v="2022-05-18T00:00:00" u="1"/>
        <d v="2022-05-17T00:00:00" u="1"/>
        <d v="2022-05-19T00:00:00" u="1"/>
        <d v="2022-05-20T00:00:00" u="1"/>
        <d v="2022-05-22T00:00:00" u="1"/>
        <d v="2022-05-23T00:00:00" u="1"/>
        <d v="2022-05-24T00:00:00" u="1"/>
        <d v="2022-05-25T00:00:00" u="1"/>
        <d v="2022-05-26T00:00:00" u="1"/>
        <d v="2022-05-27T00:00:00" u="1"/>
        <d v="2022-05-28T00:00:00" u="1"/>
        <d v="2022-05-29T00:00:00" u="1"/>
        <d v="2022-05-30T00:00:00" u="1"/>
        <d v="2022-05-31T00:00:00" u="1"/>
        <d v="2022-06-01T00:00:00" u="1"/>
        <d v="2022-06-02T00:00:00" u="1"/>
        <d v="2022-06-06T00:00:00" u="1"/>
        <d v="2022-06-07T00:00:00" u="1"/>
        <d v="2022-06-08T00:00:00" u="1"/>
        <d v="2022-06-09T00:00:00" u="1"/>
        <d v="2022-06-10T00:00:00" u="1"/>
        <d v="2022-06-13T00:00:00" u="1"/>
        <d v="2022-06-14T00:00:00" u="1"/>
        <d v="2022-06-15T00:00:00" u="1"/>
        <d v="2022-06-16T00:00:00" u="1"/>
        <d v="2022-06-17T00:00:00" u="1"/>
        <d v="2022-06-19T00:00:00" u="1"/>
        <d v="2022-06-21T00:00:00" u="1"/>
        <d v="2022-06-22T00:00:00" u="1"/>
        <d v="2022-06-23T00:00:00" u="1"/>
        <d v="2022-06-24T00:00:00" u="1"/>
        <d v="2022-06-25T00:00:00" u="1"/>
        <d v="2022-06-28T00:00:00" u="1"/>
        <d v="2022-06-29T00:00:00" u="1"/>
        <d v="2022-06-30T00:00:00" u="1"/>
        <d v="2022-07-01T00:00:00" u="1"/>
        <d v="2022-07-02T00:00:00" u="1"/>
        <d v="2022-07-04T00:00:00" u="1"/>
        <d v="2022-07-05T00:00:00" u="1"/>
        <d v="2022-07-07T00:00:00" u="1"/>
        <d v="2022-07-08T00:00:00" u="1"/>
        <d v="2022-07-11T00:00:00" u="1"/>
        <d v="2022-07-12T00:00:00" u="1"/>
        <d v="2022-07-13T00:00:00" u="1"/>
        <d v="2022-07-15T00:00:00" u="1"/>
        <d v="2022-07-18T00:00:00" u="1"/>
        <d v="2022-07-19T00:00:00" u="1"/>
        <d v="2022-07-20T00:00:00" u="1"/>
        <d v="2022-07-21T00:00:00" u="1"/>
        <d v="2022-07-22T00:00:00" u="1"/>
        <d v="2022-07-23T00:00:00" u="1"/>
        <d v="2022-07-25T00:00:00" u="1"/>
        <d v="2022-07-26T00:00:00" u="1"/>
        <d v="2022-07-27T00:00:00" u="1"/>
        <d v="2022-07-28T00:00:00" u="1"/>
        <d v="2022-07-29T00:00:00" u="1"/>
        <d v="2022-07-30T00:00:00" u="1"/>
        <d v="2022-07-31T00:00:00" u="1"/>
        <d v="2022-08-01T00:00:00" u="1"/>
        <d v="2022-08-02T00:00:00" u="1"/>
        <d v="2022-08-03T00:00:00" u="1"/>
        <d v="2022-08-04T00:00:00" u="1"/>
        <d v="2022-08-05T00:00:00" u="1"/>
        <d v="2022-08-07T00:00:00" u="1"/>
        <d v="2022-08-08T00:00:00" u="1"/>
        <d v="2022-08-09T00:00:00" u="1"/>
        <d v="2022-08-10T00:00:00" u="1"/>
        <d v="2022-08-12T00:00:00" u="1"/>
        <d v="2022-08-13T00:00:00" u="1"/>
        <d v="2022-08-15T00:00:00" u="1"/>
        <d v="2022-08-16T00:00:00" u="1"/>
        <d v="2022-08-18T00:00:00" u="1"/>
        <d v="2022-08-19T00:00:00" u="1"/>
        <d v="2022-08-20T00:00:00" u="1"/>
        <d v="2022-08-22T00:00:00" u="1"/>
        <d v="2022-08-23T00:00:00" u="1"/>
        <d v="2022-08-24T00:00:00" u="1"/>
        <d v="2022-08-25T00:00:00" u="1"/>
        <d v="2022-08-26T00:00:00" u="1"/>
        <d v="2022-08-27T00:00:00" u="1"/>
        <d v="2022-08-29T00:00:00" u="1"/>
        <d v="2022-08-31T00:00:00" u="1"/>
        <d v="2022-09-01T00:00:00" u="1"/>
        <d v="2022-09-02T00:00:00" u="1"/>
        <d v="2022-09-03T00:00:00" u="1"/>
        <d v="2022-09-05T00:00:00" u="1"/>
        <d v="2022-09-06T00:00:00" u="1"/>
        <d v="2022-09-07T00:00:00" u="1"/>
        <d v="2022-09-08T00:00:00" u="1"/>
        <d v="2022-09-10T00:00:00" u="1"/>
        <d v="2022-09-12T00:00:00" u="1"/>
        <d v="2022-09-13T00:00:00" u="1"/>
        <d v="2022-09-14T00:00:00" u="1"/>
        <d v="2022-09-15T00:00:00" u="1"/>
        <d v="2022-09-17T00:00:00" u="1"/>
        <d v="2022-09-19T00:00:00" u="1"/>
        <d v="2022-09-20T00:00:00" u="1"/>
        <d v="2022-09-23T00:00:00" u="1"/>
        <d v="2022-09-21T00:00:00" u="1"/>
        <d v="2022-09-22T00:00:00" u="1"/>
        <d v="2022-09-24T00:00:00" u="1"/>
        <d v="2022-09-25T00:00:00" u="1"/>
        <d v="2022-09-27T00:00:00" u="1"/>
        <d v="2022-09-28T00:00:00" u="1"/>
        <d v="2022-09-30T00:00:00" u="1"/>
        <d v="2022-10-03T00:00:00" u="1"/>
        <d v="2022-10-04T00:00:00" u="1"/>
        <d v="2022-10-05T00:00:00" u="1"/>
        <d v="2022-10-06T00:00:00" u="1"/>
        <d v="2022-10-07T00:00:00" u="1"/>
        <d v="2022-10-08T00:00:00" u="1"/>
        <d v="2022-10-10T00:00:00" u="1"/>
        <d v="2022-10-13T00:00:00" u="1"/>
        <d v="2022-10-14T00:00:00" u="1"/>
        <d v="2022-10-15T00:00:00" u="1"/>
        <d v="2022-10-17T00:00:00" u="1"/>
        <d v="2022-10-18T00:00:00" u="1"/>
        <d v="2022-10-19T00:00:00" u="1"/>
        <d v="2022-10-20T00:00:00" u="1"/>
        <d v="2022-10-21T00:00:00" u="1"/>
        <d v="2022-10-22T00:00:00" u="1"/>
        <d v="2022-10-25T00:00:00" u="1"/>
        <d v="2022-10-27T00:00:00" u="1"/>
        <d v="2022-10-28T00:00:00" u="1"/>
        <d v="2022-10-31T00:00:00" u="1"/>
        <d v="2022-11-02T00:00:00" u="1"/>
        <d v="2022-11-03T00:00:00" u="1"/>
        <d v="2022-11-06T00:00:00" u="1"/>
        <d v="2022-11-07T00:00:00" u="1"/>
        <d v="2022-11-08T00:00:00" u="1"/>
        <d v="2022-11-12T00:00:00" u="1"/>
        <d v="2022-11-13T00:00:00" u="1"/>
        <d v="2022-11-14T00:00:00" u="1"/>
        <d v="2022-11-15T00:00:00" u="1"/>
        <d v="2022-11-16T00:00:00" u="1"/>
        <d v="2022-11-18T00:00:00" u="1"/>
        <d v="2022-11-19T00:00:00" u="1"/>
        <d v="2022-11-21T00:00:00" u="1"/>
        <d v="2022-11-22T00:00:00" u="1"/>
        <d v="2022-11-25T00:00:00" u="1"/>
        <d v="2022-11-26T00:00:00" u="1"/>
        <d v="2022-11-29T00:00:00" u="1"/>
        <d v="2022-11-28T00:00:00" u="1"/>
        <d v="2022-11-30T00:00:00" u="1"/>
        <d v="2022-12-01T00:00:00" u="1"/>
        <d v="2022-12-02T00:00:00" u="1"/>
        <d v="2022-12-03T00:00:00" u="1"/>
        <d v="2022-12-04T00:00:00" u="1"/>
        <d v="2022-12-05T00:00:00" u="1"/>
        <d v="2022-12-06T00:00:00" u="1"/>
        <d v="2022-12-08T00:00:00" u="1"/>
        <d v="2022-12-09T00:00:00" u="1"/>
        <d v="2022-12-12T00:00:00" u="1"/>
        <d v="2022-12-13T00:00:00" u="1"/>
        <d v="2022-12-14T00:00:00" u="1"/>
        <d v="2022-12-15T00:00:00" u="1"/>
        <d v="2022-12-16T00:00:00" u="1"/>
        <d v="2022-12-17T00:00:00" u="1"/>
        <d v="2022-12-19T00:00:00" u="1"/>
        <d v="2022-12-20T00:00:00" u="1"/>
        <d v="2022-12-21T00:00:00" u="1"/>
        <d v="2022-12-22T00:00:00" u="1"/>
        <d v="2022-12-23T00:00:00" u="1"/>
        <d v="2022-12-24T00:00:00" u="1"/>
        <d v="2022-12-25T00:00:00" u="1"/>
        <d v="2022-12-26T00:00:00" u="1"/>
        <d v="2022-12-27T00:00:00" u="1"/>
        <d v="2022-12-28T00:00:00" u="1"/>
        <d v="2022-12-29T00:00:00" u="1"/>
        <d v="2022-12-30T00:00:00" u="1"/>
        <d v="2022-12-31T00:00:00" u="1"/>
        <d v="2023-01-01T00:00:00" u="1"/>
        <d v="2023-01-03T00:00:00" u="1"/>
        <d v="2023-01-04T00:00:00" u="1"/>
        <d v="2023-01-06T00:00:00" u="1"/>
        <d v="2023-01-08T00:00:00" u="1"/>
        <d v="2023-01-11T00:00:00" u="1"/>
        <d v="2023-01-12T00:00:00" u="1"/>
        <d v="2023-01-13T00:00:00" u="1"/>
        <d v="2023-01-15T00:00:00" u="1"/>
        <d v="2023-01-16T00:00:00" u="1"/>
        <d v="2023-01-17T00:00:00" u="1"/>
        <d v="2023-01-18T00:00:00" u="1"/>
        <d v="2023-01-19T00:00:00" u="1"/>
        <d v="2023-01-21T00:00:00" u="1"/>
        <d v="2023-01-22T00:00:00" u="1"/>
        <d v="2023-01-24T00:00:00" u="1"/>
        <d v="2023-01-25T00:00:00" u="1"/>
        <d v="2023-01-27T00:00:00" u="1"/>
        <d v="2023-01-29T00:00:00" u="1"/>
        <d v="2023-01-30T00:00:00" u="1"/>
        <d v="2023-01-31T00:00:00" u="1"/>
        <d v="2023-02-02T00:00:00" u="1"/>
        <d v="2023-02-03T00:00:00" u="1"/>
        <d v="2023-02-04T00:00:00" u="1"/>
        <d v="2023-02-05T00:00:00" u="1"/>
        <d v="2023-02-06T00:00:00" u="1"/>
        <d v="2023-02-07T00:00:00" u="1"/>
        <d v="2023-02-08T00:00:00" u="1"/>
        <d v="2023-02-13T00:00:00" u="1"/>
        <d v="2023-02-14T00:00:00" u="1"/>
        <d v="2023-02-15T00:00:00" u="1"/>
        <d v="2023-02-16T00:00:00" u="1"/>
        <d v="2023-02-17T00:00:00" u="1"/>
        <d v="2023-02-19T00:00:00" u="1"/>
        <d v="2023-02-20T00:00:00" u="1"/>
        <d v="2023-02-22T00:00:00" u="1"/>
        <d v="2023-02-23T00:00:00" u="1"/>
        <d v="2023-02-24T00:00:00" u="1"/>
        <d v="2023-02-25T00:00:00" u="1"/>
        <d v="2023-02-26T00:00:00" u="1"/>
        <d v="2023-02-27T00:00:00" u="1"/>
        <d v="2023-02-28T00:00:00" u="1"/>
        <d v="2023-03-01T00:00:00" u="1"/>
        <d v="2023-03-02T00:00:00" u="1"/>
        <d v="2023-03-03T00:00:00" u="1"/>
        <d v="2023-03-05T00:00:00" u="1"/>
        <d v="2023-03-06T00:00:00" u="1"/>
        <d v="2023-03-07T00:00:00" u="1"/>
        <d v="2023-03-08T00:00:00" u="1"/>
        <d v="2023-03-09T00:00:00" u="1"/>
        <d v="2023-03-10T00:00:00" u="1"/>
        <d v="2023-03-13T00:00:00" u="1"/>
        <d v="2023-03-14T00:00:00" u="1"/>
        <d v="2023-03-15T00:00:00" u="1"/>
        <d v="2023-03-16T00:00:00" u="1"/>
        <d v="2023-03-17T00:00:00" u="1"/>
        <d v="2023-03-18T00:00:00" u="1"/>
        <d v="2023-03-19T00:00:00" u="1"/>
        <d v="2023-03-20T00:00:00" u="1"/>
        <d v="2023-03-21T00:00:00" u="1"/>
        <d v="2023-03-22T00:00:00" u="1"/>
        <d v="2023-03-23T00:00:00" u="1"/>
        <d v="2023-03-24T00:00:00" u="1"/>
        <d v="2023-03-25T00:00:00" u="1"/>
        <d v="2023-03-27T00:00:00" u="1"/>
        <d v="2023-03-28T00:00:00" u="1"/>
        <d v="2023-03-29T00:00:00" u="1"/>
        <d v="2023-03-30T00:00:00" u="1"/>
        <d v="2023-03-31T00:00:00" u="1"/>
        <d v="2023-04-03T00:00:00" u="1"/>
        <d v="2023-04-04T00:00:00" u="1"/>
        <d v="2023-04-06T00:00:00" u="1"/>
        <d v="2023-04-07T00:00:00" u="1"/>
        <d v="2023-04-10T00:00:00" u="1"/>
        <d v="2023-04-11T00:00:00" u="1"/>
        <d v="2023-04-13T00:00:00" u="1"/>
        <d v="2023-04-15T00:00:00" u="1"/>
        <d v="2023-04-16T00:00:00" u="1"/>
        <d v="2023-04-17T00:00:00" u="1"/>
        <d v="2023-04-18T00:00:00" u="1"/>
        <d v="2023-04-19T00:00:00" u="1"/>
        <d v="2023-04-21T00:00:00" u="1"/>
        <d v="2023-04-22T00:00:00" u="1"/>
        <d v="2023-04-24T00:00:00" u="1"/>
        <d v="2023-04-25T00:00:00" u="1"/>
        <d v="2023-04-26T00:00:00" u="1"/>
        <d v="2023-04-27T00:00:00" u="1"/>
        <d v="2023-04-28T00:00:00" u="1"/>
        <d v="2023-04-29T00:00:00" u="1"/>
        <d v="2023-04-30T00:00:00" u="1"/>
        <d v="2023-05-01T00:00:00" u="1"/>
        <d v="2023-05-02T00:00:00" u="1"/>
        <d v="2023-05-03T00:00:00" u="1"/>
        <d v="2023-05-04T00:00:00" u="1"/>
        <d v="2023-05-05T00:00:00" u="1"/>
        <d v="2023-05-08T00:00:00" u="1"/>
        <d v="2023-05-09T00:00:00" u="1"/>
        <d v="2023-05-10T00:00:00" u="1"/>
        <d v="2023-05-12T00:00:00" u="1"/>
        <d v="2023-05-13T00:00:00" u="1"/>
        <d v="2023-05-15T00:00:00" u="1"/>
        <d v="2023-05-16T00:00:00" u="1"/>
        <d v="2023-05-17T00:00:00" u="1"/>
        <d v="2023-05-18T00:00:00" u="1"/>
        <d v="2023-05-19T00:00:00" u="1"/>
        <d v="2023-05-20T00:00:00" u="1"/>
        <d v="2023-05-21T00:00:00" u="1"/>
        <d v="2023-05-22T00:00:00" u="1"/>
        <d v="2023-05-24T00:00:00" u="1"/>
        <d v="2023-05-25T00:00:00" u="1"/>
        <d v="2023-05-26T00:00:00" u="1"/>
        <d v="2023-05-27T00:00:00" u="1"/>
        <d v="2023-05-29T00:00:00" u="1"/>
        <d v="2023-05-30T00:00:00" u="1"/>
        <d v="2023-05-31T00:00:00" u="1"/>
        <d v="2023-06-03T00:00:00" u="1"/>
        <d v="2023-06-04T00:00:00" u="1"/>
        <d v="2023-06-05T00:00:00" u="1"/>
        <d v="2023-06-06T00:00:00" u="1"/>
        <d v="2023-06-07T00:00:00" u="1"/>
        <d v="2023-06-08T00:00:00" u="1"/>
        <d v="2023-06-09T00:00:00" u="1"/>
        <d v="2023-06-10T00:00:00" u="1"/>
        <d v="2023-06-13T00:00:00" u="1"/>
        <d v="2023-06-14T00:00:00" u="1"/>
        <d v="2023-06-15T00:00:00" u="1"/>
        <d v="2023-06-16T00:00:00" u="1"/>
        <d v="2023-06-18T00:00:00" u="1"/>
        <d v="2023-06-19T00:00:00" u="1"/>
        <d v="2023-06-20T00:00:00" u="1"/>
        <d v="2023-06-21T00:00:00" u="1"/>
        <d v="2023-06-22T00:00:00" u="1"/>
        <d v="2023-06-23T00:00:00" u="1"/>
        <d v="2023-06-24T00:00:00" u="1"/>
        <d v="2023-06-25T00:00:00" u="1"/>
        <d v="2023-06-26T00:00:00" u="1"/>
        <d v="2023-06-28T00:00:00" u="1"/>
        <d v="2023-06-29T00:00:00" u="1"/>
        <d v="2023-06-30T00:00:00" u="1"/>
        <d v="2023-07-02T00:00:00" u="1"/>
        <d v="2023-07-03T00:00:00" u="1"/>
        <d v="2023-07-04T00:00:00" u="1"/>
        <d v="2023-07-05T00:00:00" u="1"/>
        <d v="2023-07-07T00:00:00" u="1"/>
        <d v="2023-07-08T00:00:00" u="1"/>
        <d v="2023-07-09T00:00:00" u="1"/>
        <d v="2023-07-10T00:00:00" u="1"/>
        <d v="2023-07-12T00:00:00" u="1"/>
        <d v="2023-07-13T00:00:00" u="1"/>
        <d v="2023-07-15T00:00:00" u="1"/>
        <d v="2023-07-17T00:00:00" u="1"/>
        <d v="2023-07-18T00:00:00" u="1"/>
        <d v="2023-07-19T00:00:00" u="1"/>
        <d v="2023-07-20T00:00:00" u="1"/>
        <d v="2023-07-21T00:00:00" u="1"/>
        <d v="2023-07-22T00:00:00" u="1"/>
        <d v="2023-07-23T00:00:00" u="1"/>
        <d v="2023-07-24T00:00:00" u="1"/>
        <d v="2023-07-25T00:00:00" u="1"/>
        <d v="2023-07-28T00:00:00" u="1"/>
        <d v="2023-07-31T00:00:00" u="1"/>
        <d v="2023-08-01T00:00:00" u="1"/>
        <d v="2023-08-03T00:00:00" u="1"/>
        <d v="2023-08-04T00:00:00" u="1"/>
        <d v="2023-08-05T00:00:00" u="1"/>
        <d v="2023-08-07T00:00:00" u="1"/>
        <d v="2023-08-08T00:00:00" u="1"/>
        <d v="2023-08-09T00:00:00" u="1"/>
        <d v="2023-08-11T00:00:00" u="1"/>
        <d v="2023-08-12T00:00:00" u="1"/>
        <d v="2023-08-13T00:00:00" u="1"/>
        <d v="2023-08-14T00:00:00" u="1"/>
        <d v="2023-08-15T00:00:00" u="1"/>
        <d v="2023-08-16T00:00:00" u="1"/>
        <d v="2023-08-18T00:00:00" u="1"/>
        <d v="2023-08-21T00:00:00" u="1"/>
        <d v="2023-08-22T00:00:00" u="1"/>
        <d v="2023-08-23T00:00:00" u="1"/>
        <d v="2023-08-24T00:00:00" u="1"/>
        <d v="2023-08-25T00:00:00" u="1"/>
        <d v="2023-08-26T00:00:00" u="1"/>
        <d v="2023-08-28T00:00:00" u="1"/>
        <d v="2023-08-29T00:00:00" u="1"/>
        <d v="2023-08-30T00:00:00" u="1"/>
        <d v="2023-08-31T00:00:00" u="1"/>
        <d v="2023-09-01T00:00:00" u="1"/>
        <d v="2023-09-02T00:00:00" u="1"/>
        <d v="2023-09-05T00:00:00" u="1"/>
        <d v="2023-09-06T00:00:00" u="1"/>
        <d v="2023-09-07T00:00:00" u="1"/>
        <d v="2023-09-08T00:00:00" u="1"/>
        <d v="2023-09-10T00:00:00" u="1"/>
        <d v="2023-09-11T00:00:00" u="1"/>
        <d v="2023-09-12T00:00:00" u="1"/>
        <d v="2023-09-13T00:00:00" u="1"/>
        <d v="2023-09-15T00:00:00" u="1"/>
        <d v="2023-09-16T00:00:00" u="1"/>
        <d v="2023-09-18T00:00:00" u="1"/>
        <d v="2023-09-20T00:00:00" u="1"/>
        <d v="2023-09-21T00:00:00" u="1"/>
        <d v="2023-09-22T00:00:00" u="1"/>
        <d v="2023-09-23T00:00:00" u="1"/>
        <d v="2023-09-25T00:00:00" u="1"/>
        <d v="2023-09-26T00:00:00" u="1"/>
        <d v="2023-09-27T00:00:00" u="1"/>
        <d v="2023-09-28T00:00:00" u="1"/>
        <d v="2023-09-29T00:00:00" u="1"/>
        <d v="2023-09-30T00:00:00" u="1"/>
        <d v="2023-10-01T00:00:00" u="1"/>
        <d v="2023-10-02T00:00:00" u="1"/>
        <d v="2023-10-04T00:00:00" u="1"/>
        <d v="2023-10-05T00:00:00" u="1"/>
        <d v="2023-10-06T00:00:00" u="1"/>
        <d v="2023-10-07T00:00:00" u="1"/>
        <d v="2023-10-08T00:00:00" u="1"/>
        <d v="2023-10-09T00:00:00" u="1"/>
        <d v="2023-10-10T00:00:00" u="1"/>
        <d v="2023-10-11T00:00:00" u="1"/>
        <d v="2023-10-13T00:00:00" u="1"/>
        <d v="2023-10-14T00:00:00" u="1"/>
        <d v="2023-10-15T00:00:00" u="1"/>
        <d v="2023-10-16T00:00:00" u="1"/>
        <d v="2023-10-17T00:00:00" u="1"/>
        <d v="2023-10-18T00:00:00" u="1"/>
        <d v="2023-10-19T00:00:00" u="1"/>
        <d v="2023-10-20T00:00:00" u="1"/>
        <d v="2023-10-22T00:00:00" u="1"/>
        <d v="2023-10-23T00:00:00" u="1"/>
        <d v="2023-10-24T00:00:00" u="1"/>
        <d v="2023-10-25T00:00:00" u="1"/>
        <d v="2023-10-26T00:00:00" u="1"/>
        <d v="2023-10-27T00:00:00" u="1"/>
        <d v="2023-10-29T00:00:00" u="1"/>
        <d v="2023-10-30T00:00:00" u="1"/>
        <d v="2023-10-31T00:00:00" u="1"/>
        <d v="2023-11-02T00:00:00" u="1"/>
        <d v="2023-11-04T00:00:00" u="1"/>
        <d v="2023-11-05T00:00:00" u="1"/>
        <d v="2023-11-06T00:00:00" u="1"/>
        <d v="2023-11-07T00:00:00" u="1"/>
        <d v="2023-11-08T00:00:00" u="1"/>
        <d v="2023-11-10T00:00:00" u="1"/>
        <d v="2023-11-11T00:00:00" u="1"/>
        <d v="2023-11-13T00:00:00" u="1"/>
        <d v="2023-11-15T00:00:00" u="1"/>
        <d v="2023-11-17T00:00:00" u="1"/>
        <d v="2023-11-18T00:00:00" u="1"/>
        <d v="2023-11-19T00:00:00" u="1"/>
        <d v="2023-11-20T00:00:00" u="1"/>
        <d v="2023-11-21T00:00:00" u="1"/>
        <d v="2023-11-22T00:00:00" u="1"/>
        <d v="2023-11-23T00:00:00" u="1"/>
        <d v="2023-11-24T00:00:00" u="1"/>
        <d v="2023-11-25T00:00:00" u="1"/>
        <d v="2023-11-26T00:00:00" u="1"/>
        <d v="2023-11-27T00:00:00" u="1"/>
        <d v="2023-11-28T00:00:00" u="1"/>
        <d v="2023-11-30T00:00:00" u="1"/>
        <d v="2023-12-02T00:00:00" u="1"/>
        <d v="2023-12-01T00:00:00" u="1"/>
        <d v="2023-12-05T00:00:00" u="1"/>
        <d v="2023-12-06T00:00:00" u="1"/>
        <d v="2023-12-07T00:00:00" u="1"/>
        <d v="2023-12-08T00:00:00" u="1"/>
        <d v="2023-12-11T00:00:00" u="1"/>
        <d v="2023-12-12T00:00:00" u="1"/>
        <d v="2023-12-13T00:00:00" u="1"/>
        <d v="2023-12-14T00:00:00" u="1"/>
        <d v="2023-12-15T00:00:00" u="1"/>
        <d v="2023-12-16T00:00:00" u="1"/>
        <d v="2023-12-17T00:00:00" u="1"/>
        <d v="2023-12-18T00:00:00" u="1"/>
        <d v="2023-12-19T00:00:00" u="1"/>
        <d v="2023-12-20T00:00:00" u="1"/>
        <d v="2023-12-21T00:00:00" u="1"/>
        <d v="2023-12-22T00:00:00" u="1"/>
        <d v="2023-12-25T00:00:00" u="1"/>
        <d v="2023-12-26T00:00:00" u="1"/>
        <d v="2023-12-28T00:00:00" u="1"/>
        <d v="2023-12-29T00:00:00" u="1"/>
        <d v="2023-12-30T00:00:00" u="1"/>
        <d v="2023-12-31T00:00:00" u="1"/>
        <d v="2024-01-02T00:00:00" u="1"/>
        <d v="2024-01-05T00:00:00" u="1"/>
        <d v="2024-01-08T00:00:00" u="1"/>
        <d v="2024-01-12T00:00:00" u="1"/>
        <d v="2024-01-13T00:00:00" u="1"/>
        <d v="2024-01-15T00:00:00" u="1"/>
        <d v="2024-01-16T00:00:00" u="1"/>
        <d v="2024-01-17T00:00:00" u="1"/>
        <d v="2024-01-18T00:00:00" u="1"/>
        <d v="2024-01-19T00:00:00" u="1"/>
        <d v="2024-01-20T00:00:00" u="1"/>
        <d v="2024-01-22T00:00:00" u="1"/>
        <d v="2024-01-23T00:00:00" u="1"/>
        <d v="2024-01-25T00:00:00" u="1"/>
        <d v="2024-01-26T00:00:00" u="1"/>
        <d v="2024-01-28T00:00:00" u="1"/>
        <d v="2024-01-29T00:00:00" u="1"/>
        <d v="2024-01-30T00:00:00" u="1"/>
        <d v="2024-01-31T00:00:00" u="1"/>
        <d v="2024-02-03T00:00:00" u="1"/>
        <d v="2024-02-04T00:00:00" u="1"/>
        <d v="2024-02-05T00:00:00" u="1"/>
        <d v="2024-02-06T00:00:00" u="1"/>
        <d v="2024-02-07T00:00:00" u="1"/>
        <d v="2024-02-09T00:00:00" u="1"/>
        <d v="2024-02-12T00:00:00" u="1"/>
        <d v="2024-02-13T00:00:00" u="1"/>
        <d v="2024-02-14T00:00:00" u="1"/>
        <d v="2024-02-15T00:00:00" u="1"/>
        <d v="2024-02-16T00:00:00" u="1"/>
        <d v="2024-02-17T00:00:00" u="1"/>
        <d v="2024-02-19T00:00:00" u="1"/>
        <d v="2024-02-20T00:00:00" u="1"/>
        <d v="2024-02-21T00:00:00" u="1"/>
        <d v="2024-02-23T00:00:00" u="1"/>
        <d v="2024-02-25T00:00:00" u="1"/>
        <d v="2024-02-26T00:00:00" u="1"/>
        <d v="2024-02-27T00:00:00" u="1"/>
        <d v="2024-02-28T00:00:00" u="1"/>
        <d v="2024-02-29T00:00:00" u="1"/>
        <d v="2024-03-04T00:00:00" u="1"/>
        <d v="2024-03-05T00:00:00" u="1"/>
        <d v="2024-03-06T00:00:00" u="1"/>
        <d v="2024-03-07T00:00:00" u="1"/>
        <d v="2024-03-08T00:00:00" u="1"/>
        <d v="2024-03-10T00:00:00" u="1"/>
        <d v="2024-03-11T00:00:00" u="1"/>
        <d v="2024-03-12T00:00:00" u="1"/>
        <d v="2024-03-13T00:00:00" u="1"/>
        <d v="2024-03-14T00:00:00" u="1"/>
        <d v="2024-03-15T00:00:00" u="1"/>
        <d v="2024-03-16T00:00:00" u="1"/>
        <d v="2024-03-17T00:00:00" u="1"/>
        <d v="2024-03-18T00:00:00" u="1"/>
        <d v="2024-03-21T00:00:00" u="1"/>
        <d v="2024-03-22T00:00:00" u="1"/>
        <d v="2024-03-23T00:00:00" u="1"/>
        <d v="2024-03-25T00:00:00" u="1"/>
        <d v="2024-03-27T00:00:00" u="1"/>
        <d v="2024-03-28T00:00:00" u="1"/>
        <d v="2024-03-29T00:00:00" u="1"/>
        <d v="2024-03-30T00:00:00" u="1"/>
        <d v="2024-03-31T00:00:00" u="1"/>
        <d v="2024-04-01T00:00:00" u="1"/>
        <d v="2024-04-02T00:00:00" u="1"/>
        <d v="2024-04-04T00:00:00" u="1"/>
        <d v="2024-04-05T00:00:00" u="1"/>
        <d v="2024-04-06T00:00:00" u="1"/>
        <d v="2024-04-08T00:00:00" u="1"/>
        <d v="2024-04-09T00:00:00" u="1"/>
        <d v="2024-04-11T00:00:00" u="1"/>
        <d v="2024-04-13T00:00:00" u="1"/>
        <d v="2024-04-14T00:00:00" u="1"/>
        <d v="2024-04-15T00:00:00" u="1"/>
        <d v="2024-04-16T00:00:00" u="1"/>
        <d v="2024-04-17T00:00:00" u="1"/>
        <d v="2024-04-19T00:00:00" u="1"/>
        <d v="2024-04-21T00:00:00" u="1"/>
        <d v="2024-04-22T00:00:00" u="1"/>
        <d v="2024-04-23T00:00:00" u="1"/>
        <d v="2024-04-24T00:00:00" u="1"/>
        <d v="2024-04-25T00:00:00" u="1"/>
        <d v="2024-04-27T00:00:00" u="1"/>
        <d v="2024-04-29T00:00:00" u="1"/>
        <d v="2024-04-30T00:00:00" u="1"/>
        <d v="2024-05-02T00:00:00" u="1"/>
        <d v="2024-05-03T00:00:00" u="1"/>
        <d v="2024-05-04T00:00:00" u="1"/>
        <d v="2024-05-05T00:00:00" u="1"/>
        <d v="2024-05-06T00:00:00" u="1"/>
        <d v="2024-05-07T00:00:00" u="1"/>
        <d v="2024-05-08T00:00:00" u="1"/>
        <d v="2024-05-09T00:00:00" u="1"/>
        <d v="2024-05-10T00:00:00" u="1"/>
        <d v="2024-05-12T00:00:00" u="1"/>
        <d v="2024-05-13T00:00:00" u="1"/>
        <d v="2024-05-14T00:00:00" u="1"/>
        <d v="2024-05-15T00:00:00" u="1"/>
        <d v="2024-05-16T00:00:00" u="1"/>
        <d v="2024-05-17T00:00:00" u="1"/>
        <d v="2024-05-18T00:00:00" u="1"/>
        <d v="2024-05-20T00:00:00" u="1"/>
        <d v="2024-05-21T00:00:00" u="1"/>
        <d v="2024-05-22T00:00:00" u="1"/>
        <d v="2024-05-23T00:00:00" u="1"/>
        <d v="2024-05-25T00:00:00" u="1"/>
        <d v="2024-05-27T00:00:00" u="1"/>
        <d v="2024-05-28T00:00:00" u="1"/>
        <d v="2024-05-29T00:00:00" u="1"/>
        <d v="2024-05-30T00:00:00" u="1"/>
        <d v="2024-05-31T00:00:00" u="1"/>
        <d v="2024-06-02T00:00:00" u="1"/>
        <d v="2024-06-03T00:00:00" u="1"/>
        <d v="2024-06-05T00:00:00" u="1"/>
        <d v="2024-06-06T00:00:00" u="1"/>
        <d v="2024-06-07T00:00:00" u="1"/>
        <d v="2024-06-08T00:00:00" u="1"/>
        <d v="2024-06-09T00:00:00" u="1"/>
        <d v="2024-06-13T00:00:00" u="1"/>
        <d v="2024-06-14T00:00:00" u="1"/>
        <d v="2024-06-15T00:00:00" u="1"/>
        <d v="2024-06-22T00:00:00" u="1"/>
        <d v="2024-06-16T00:00:00" u="1"/>
        <d v="2024-06-18T00:00:00" u="1"/>
        <d v="2024-06-17T00:00:00" u="1"/>
        <d v="2024-06-19T00:00:00" u="1"/>
        <d v="2024-06-20T00:00:00" u="1"/>
        <d v="2024-06-21T00:00:00" u="1"/>
        <d v="2024-06-24T00:00:00" u="1"/>
        <d v="2024-06-25T00:00:00" u="1"/>
        <d v="2024-06-27T00:00:00" u="1"/>
        <d v="2024-06-28T00:00:00" u="1"/>
        <d v="2024-06-30T00:00:00" u="1"/>
        <d v="2024-07-01T00:00:00" u="1"/>
        <d v="2024-07-02T00:00:00" u="1"/>
        <d v="2024-07-04T00:00:00" u="1"/>
        <d v="2024-07-05T00:00:00" u="1"/>
        <d v="2024-07-06T00:00:00" u="1"/>
        <d v="2024-07-08T00:00:00" u="1"/>
        <d v="2024-07-09T00:00:00" u="1"/>
        <d v="2024-07-12T00:00:00" u="1"/>
        <d v="2024-07-13T00:00:00" u="1"/>
        <d v="2024-07-14T00:00:00" u="1"/>
        <d v="2024-07-15T00:00:00" u="1"/>
        <d v="2024-07-16T00:00:00" u="1"/>
        <d v="2024-07-17T00:00:00" u="1"/>
        <d v="2024-07-19T00:00:00" u="1"/>
        <d v="2024-07-20T00:00:00" u="1"/>
        <d v="2024-07-22T00:00:00" u="1"/>
        <d v="2024-07-23T00:00:00" u="1"/>
        <d v="2024-07-24T00:00:00" u="1"/>
        <d v="2024-07-25T00:00:00" u="1"/>
        <d v="2024-07-26T00:00:00" u="1"/>
        <d v="2024-07-27T00:00:00" u="1"/>
        <d v="2024-07-29T00:00:00" u="1"/>
        <d v="2024-07-30T00:00:00" u="1"/>
        <d v="2024-08-01T00:00:00" u="1"/>
        <d v="2024-08-02T00:00:00" u="1"/>
        <d v="2024-08-04T00:00:00" u="1"/>
        <d v="2024-08-05T00:00:00" u="1"/>
        <d v="2024-08-07T00:00:00" u="1"/>
        <d v="2024-08-08T00:00:00" u="1"/>
        <d v="2024-08-09T00:00:00" u="1"/>
        <d v="2024-08-13T00:00:00" u="1"/>
        <d v="2024-08-14T00:00:00" u="1"/>
        <d v="2024-08-15T00:00:00" u="1"/>
        <d v="2024-08-16T00:00:00" u="1"/>
        <d v="2024-08-17T00:00:00" u="1"/>
        <d v="2024-08-18T00:00:00" u="1"/>
        <d v="2024-08-19T00:00:00" u="1"/>
        <d v="2024-08-20T00:00:00" u="1"/>
        <d v="2024-08-21T00:00:00" u="1"/>
        <d v="2024-08-22T00:00:00" u="1"/>
        <d v="2024-08-23T00:00:00" u="1"/>
        <d v="2024-08-25T00:00:00" u="1"/>
        <d v="2024-08-26T00:00:00" u="1"/>
        <d v="2024-08-27T00:00:00" u="1"/>
        <d v="2024-08-28T00:00:00" u="1"/>
        <d v="2024-08-29T00:00:00" u="1"/>
        <d v="2024-08-30T00:00:00" u="1"/>
        <d v="2024-09-02T00:00:00" u="1"/>
        <d v="2024-09-03T00:00:00" u="1"/>
        <d v="2024-09-05T00:00:00" u="1"/>
        <d v="2024-09-06T00:00:00" u="1"/>
        <d v="2024-09-07T00:00:00" u="1"/>
        <d v="2024-09-08T00:00:00" u="1"/>
        <d v="2024-09-09T00:00:00" u="1"/>
        <d v="2024-09-10T00:00:00" u="1"/>
        <d v="2024-09-12T00:00:00" u="1"/>
        <d v="2024-09-13T00:00:00" u="1"/>
        <d v="2024-09-14T00:00:00" u="1"/>
        <d v="2024-09-15T00:00:00" u="1"/>
        <d v="2024-09-16T00:00:00" u="1"/>
        <d v="2024-09-17T00:00:00" u="1"/>
        <d v="2024-09-18T00:00:00" u="1"/>
        <d v="2024-09-19T00:00:00" u="1"/>
        <d v="2024-09-20T00:00:00" u="1"/>
        <d v="2024-09-22T00:00:00" u="1"/>
        <d v="2024-09-23T00:00:00" u="1"/>
        <d v="2024-09-24T00:00:00" u="1"/>
        <d v="2024-09-25T00:00:00" u="1"/>
        <d v="2024-09-26T00:00:00" u="1"/>
        <d v="2024-09-27T00:00:00" u="1"/>
        <d v="2024-09-28T00:00:00" u="1"/>
        <d v="2024-10-01T00:00:00" u="1"/>
        <d v="2024-10-02T00:00:00" u="1"/>
        <d v="2024-10-03T00:00:00" u="1"/>
        <d v="2024-10-05T00:00:00" u="1"/>
        <d v="2024-10-06T00:00:00" u="1"/>
        <d v="2024-10-07T00:00:00" u="1"/>
        <d v="2024-10-08T00:00:00" u="1"/>
        <d v="2024-10-09T00:00:00" u="1"/>
        <d v="2024-10-11T00:00:00" u="1"/>
        <d v="2024-10-12T00:00:00" u="1"/>
        <d v="2024-10-13T00:00:00" u="1"/>
        <d v="2024-10-14T00:00:00" u="1"/>
        <d v="2024-10-15T00:00:00" u="1"/>
        <d v="2024-10-16T00:00:00" u="1"/>
        <d v="2024-10-17T00:00:00" u="1"/>
        <d v="2024-10-19T00:00:00" u="1"/>
        <d v="2024-10-20T00:00:00" u="1"/>
        <d v="2024-10-21T00:00:00" u="1"/>
        <d v="2024-10-22T00:00:00" u="1"/>
        <d v="2024-10-23T00:00:00" u="1"/>
        <d v="2024-10-24T00:00:00" u="1"/>
        <d v="2024-10-25T00:00:00" u="1"/>
        <d v="2024-10-28T00:00:00" u="1"/>
        <d v="2024-10-29T00:00:00" u="1"/>
        <d v="2024-10-30T00:00:00" u="1"/>
        <d v="2024-11-03T00:00:00" u="1"/>
        <d v="2024-11-04T00:00:00" u="1"/>
        <d v="2024-11-08T00:00:00" u="1"/>
        <d v="2024-11-09T00:00:00" u="1"/>
        <d v="2024-11-11T00:00:00" u="1"/>
        <d v="2024-11-12T00:00:00" u="1"/>
        <d v="2024-11-13T00:00:00" u="1"/>
        <d v="2024-11-14T00:00:00" u="1"/>
        <d v="2024-11-15T00:00:00" u="1"/>
        <d v="2024-11-16T00:00:00" u="1"/>
        <d v="2024-11-18T00:00:00" u="1"/>
        <d v="2024-11-19T00:00:00" u="1"/>
        <d v="2024-11-20T00:00:00" u="1"/>
        <d v="2024-11-21T00:00:00" u="1"/>
        <d v="2024-11-25T00:00:00" u="1"/>
        <d v="2024-11-26T00:00:00" u="1"/>
        <d v="2024-11-27T00:00:00" u="1"/>
        <d v="2024-11-28T00:00:00" u="1"/>
        <d v="2024-11-29T00:00:00" u="1"/>
        <d v="2024-12-02T00:00:00" u="1"/>
        <d v="2024-12-04T00:00:00" u="1"/>
        <d v="2024-12-05T00:00:00" u="1"/>
        <d v="2024-12-06T00:00:00" u="1"/>
        <d v="2024-12-07T00:00:00" u="1"/>
        <d v="2024-12-08T00:00:00" u="1"/>
        <d v="2024-12-10T00:00:00" u="1"/>
        <d v="2024-12-12T00:00:00" u="1"/>
        <d v="2024-12-13T00:00:00" u="1"/>
        <d v="2024-12-14T00:00:00" u="1"/>
        <d v="2024-12-15T00:00:00" u="1"/>
        <d v="2024-12-16T00:00:00" u="1"/>
        <d v="2024-12-17T00:00:00" u="1"/>
        <d v="2024-12-18T00:00:00" u="1"/>
        <d v="2024-12-19T00:00:00" u="1"/>
        <d v="2024-12-20T00:00:00" u="1"/>
        <d v="2024-12-21T00:00:00" u="1"/>
        <d v="2024-12-22T00:00:00" u="1"/>
        <d v="2024-12-23T00:00:00" u="1"/>
        <d v="2024-12-24T00:00:00" u="1"/>
        <d v="2024-12-25T00:00:00" u="1"/>
        <d v="2024-12-26T00:00:00" u="1"/>
        <d v="2024-12-28T00:00:00" u="1"/>
        <d v="2024-12-29T00:00:00" u="1"/>
        <d v="2024-12-30T00:00:00" u="1"/>
        <d v="2025-02-02T00:00:00" u="1"/>
        <d v="2025-12-25T00:00:00" u="1"/>
        <d v="2024-11-17T00:00:00" u="1"/>
        <d v="2024-09-04T00:00:00" u="1"/>
        <d v="2024-06-23T00:00:00" u="1"/>
        <d v="2024-03-03T00:00:00" u="1"/>
        <d v="2024-03-19T00:00:00" u="1"/>
        <d v="2024-04-10T00:00:00" u="1"/>
        <d v="2023-12-10T00:00:00" u="1"/>
        <d v="2023-12-24T00:00:00" u="1"/>
        <d v="2024-01-27T00:00:00" u="1"/>
        <d v="2024-10-18T00:00:00" u="1"/>
        <d v="2023-11-12T00:00:00" u="1"/>
        <d v="2023-09-24T00:00:00" u="1"/>
        <d v="2023-08-17T00:00:00" u="1"/>
      </sharedItems>
      <fieldGroup par="15"/>
    </cacheField>
    <cacheField name="DIAS VENCIDOS" numFmtId="0">
      <sharedItems containsSemiMixedTypes="0" containsString="0" containsNumber="1" containsInteger="1" minValue="-431" maxValue="574"/>
    </cacheField>
    <cacheField name="IMPORTE" numFmtId="0">
      <sharedItems containsSemiMixedTypes="0" containsString="0" containsNumber="1" minValue="-98" maxValue="226423.18"/>
    </cacheField>
    <cacheField name="RETENCION 3%" numFmtId="0">
      <sharedItems containsString="0" containsBlank="1" containsNumber="1" minValue="0" maxValue="4842.4353000000001"/>
    </cacheField>
    <cacheField name="Nominal a Pagar" numFmtId="43">
      <sharedItems containsSemiMixedTypes="0" containsString="0" containsNumber="1" minValue="-98" maxValue="226423.18"/>
    </cacheField>
    <cacheField name="MONEDA" numFmtId="0">
      <sharedItems/>
    </cacheField>
    <cacheField name="BANCO" numFmtId="0">
      <sharedItems containsBlank="1" count="16">
        <s v="BLACK"/>
        <s v="BCP"/>
        <s v="BBVA"/>
        <s v="POR ACEPTAR"/>
        <s v="SCOTIABANK"/>
        <s v="CARTERA"/>
        <s v="SOCTIABANK"/>
        <s v="POR ENVIAR"/>
        <s v="VIGILANCIA"/>
        <s v="LETRA" u="1"/>
        <m u="1"/>
        <s v="INTERBANK" u="1"/>
        <s v="ENVIADO" u="1"/>
        <s v="RETIRO LETRA" u="1"/>
        <s v="LOURDES" u="1"/>
        <s v="PROTESTADO" u="1"/>
      </sharedItems>
    </cacheField>
    <cacheField name="PRODUCTO" numFmtId="0">
      <sharedItems containsBlank="1" count="157">
        <s v="IRIS SOLEDAD"/>
        <s v="IMPUESTOS"/>
        <s v="CARTON ESQUINEROS"/>
        <s v="SOAT"/>
        <s v="NACIONALIZACION PEGAMENTO"/>
        <s v="ETIQUETAS"/>
        <s v="SEDAPAL"/>
        <s v="MALLA"/>
        <s v="DETRACCIONES"/>
        <s v="ENEL"/>
        <s v="COMISIONES"/>
        <s v="SILICONA"/>
        <s v="NOTEX"/>
        <s v="TEJIDO DE PUNTO"/>
        <s v="ALAMBRE"/>
        <s v="DEUDA BANCOS"/>
        <s v="ADITIVOS"/>
        <s v="PLANILLA"/>
        <s v="GRAPAS"/>
        <s v="MANGAS"/>
        <s v="ESQUINEROS PLASTICOS"/>
        <s v="ALQUILER HCC"/>
        <s v="VISCO - POLIOL"/>
        <s v="NACIONALIZACION ALAMBRE"/>
        <s v="NACIONALIZACION SISAL CINTA"/>
        <s v="POLIOL"/>
        <s v="POCKET PANEL"/>
        <s v="PLUZ ENERGIA"/>
        <s v="COPOLIMERO"/>
        <s v="AFPs"/>
        <s v="TDI"/>
        <s v="PIGMENTOS"/>
        <s v="PEGAMENTO"/>
        <s v="CINTAS COLCHONERAS"/>
        <s v="ANTISPLITING"/>
        <s v="PABILO"/>
        <s v="CELULARES"/>
        <s v="TAPICERIA / TELA"/>
        <s v="HILOS"/>
        <s v="VEHICULAR IMPUESTO"/>
        <s v="SEGURO VEHICULAR"/>
        <s v="INTERNET"/>
        <s v="NACIONALIZACION POLIOL"/>
        <s v="FLETE MARITIMO"/>
        <s v="SISAL Y CINTAS"/>
        <s v="EFACT"/>
        <s v="TELEFONIA"/>
        <s v="TARIMAS"/>
        <s v="TELAS MUEBLES"/>
        <s v="NACIONALIZACION NOTEX"/>
        <s v="CLORURO DE METILENO"/>
        <s v="NACIONALIZACION TDI"/>
        <s v="TRICOT"/>
        <s v="PAGARE"/>
        <s v="AFP"/>
        <s v="NACIONALIZACION COPOLIMERO"/>
        <s v="RENTA - SUNAT"/>
        <s v="ENTEL"/>
        <s v="PASTA"/>
        <s v="MDF +TELA TAPICERIA"/>
        <s v="RECARGA DE EXTINTORES"/>
        <s v="NACIONALIZACION CLORURO"/>
        <s v="NACIONALIZACION TRICOT"/>
        <s v="CONSOLIDADO MALLA Y POCKET"/>
        <s v="NACIONALIZACION TEJIDO PUNTO"/>
        <s v="NACIONALIZACION - POCKET MALLA"/>
        <s v="COMISIONES VENTAS"/>
        <s v="QUIMICO POLIOL Y COPOLIMERO"/>
        <s v="CLORURO"/>
        <s v="POCKET"/>
        <s v="PASTAS"/>
        <s v="CINTAS"/>
        <s v="CTS"/>
        <s v="OCTOATO" u="1"/>
        <s v="AMINA" u="1"/>
        <s v="SERVICIOS -AG-LUZ" u="1"/>
        <s v="TELAS" u="1"/>
        <s v="CLORURO " u="1"/>
        <s v="PAGARE DE IMPORTACION" u="1"/>
        <s v="SISAL" u="1"/>
        <s v="NACIONALIZACION IMPORTACION" u="1"/>
        <s v="NACIONALZACION" u="1"/>
        <s v="LIQUIDACION" u="1"/>
        <s v="NACIONALIZACION " u="1"/>
        <s v="NACIONALIZAICON TELAS" u="1"/>
        <s v="TRICOT - RIBETEADOS" u="1"/>
        <s v="QUIMICO COPOLIM CLORURO" u="1"/>
        <s v="VEHICULO" u="1"/>
        <s v="ITAN" u="1"/>
        <s v="BLANCO TRICOT" u="1"/>
        <s v="DETRACCION" u="1"/>
        <s v="MANTENIMIENTO" u="1"/>
        <s v="EXTINTORES" u="1"/>
        <s v="PANELES" u="1"/>
        <s v="TEJIDO PUNTO" u="1"/>
        <s v="LUZ" u="1"/>
        <s v="RESORTES" u="1"/>
        <s v="AGUA" u="1"/>
        <s v="REPUESTOS" u="1"/>
        <s v="LETRA A FAVOR" u="1"/>
        <s v="PRESTAMO" u="1"/>
        <s v="REPARACION / RESPUESTOS" u="1"/>
        <s v="ESQUINEROS" u="1"/>
        <s v="TRICOT " u="1"/>
        <s v="NACIONALIZACION TRICTOT" u="1"/>
        <s v="CLORURO - TDI" u="1"/>
        <s v="JACQUARD" u="1"/>
        <s v="NOTEX NEGRO" u="1"/>
        <s v="PATAS CROMADAS" u="1"/>
        <s v="PATAS + TELAS MUEBLE + MDF" u="1"/>
        <s v="CLIENTE" u="1"/>
        <s v="ESTOCAS MANTENIMIENTO" u="1"/>
        <s v="MDF" u="1"/>
        <s v="PATAS" u="1"/>
        <m u="1"/>
        <s v="QUIMICOS IMPORT" u="1"/>
        <s v="GRASA / MAQUINARIAS" u="1"/>
        <s v="NACIONALIZACION NOTEX HILO" u="1"/>
        <s v="PEGAMENTO IMPORT" u="1"/>
        <s v="NACIONALIZACION / TDI" u="1"/>
        <s v="COMISIONES " u="1"/>
        <s v="NACIONALIZACION QUIMICOS" u="1"/>
        <s v="GRAPAR" u="1"/>
        <s v="AMINA 33" u="1"/>
        <s v="SUNAT" u="1"/>
        <s v="FLETE" u="1"/>
        <s v="NACIONALIZACION / ALAMBRE" u="1"/>
        <s v="MANA" u="1"/>
        <s v="DEUDA PROVEEDOR" u="1"/>
        <s v="COMPRESORA" u="1"/>
        <s v="MAQUINA CERRADORA" u="1"/>
        <s v="MANTENIMIENTO CAMIONES" u="1"/>
        <s v="NACIONALIZACION / POLIOL" u="1"/>
        <s v="AMINA Y OCTOATO" u="1"/>
        <s v="SISAL Y CINTAS IMPORT" u="1"/>
        <s v="CINTA NYLON" u="1"/>
        <s v="CAMIONETA" u="1"/>
        <s v="CINTA COLCHONERA" u="1"/>
        <s v="PISTOLA ENGRAMPADORA" u="1"/>
        <s v="PEGAMENTO LOCAL" u="1"/>
        <s v="NACIONALIZACION IMPORT" u="1"/>
        <s v="PROVEEDORES" u="1"/>
        <s v="TEJIDO D PUNTO" u="1"/>
        <s v="MANGAS RECICLADA" u="1"/>
        <s v="NACIONACILIZACION CLORURO" u="1"/>
        <s v="SISAL " u="1"/>
        <s v="QUIMICOS" u="1"/>
        <s v="VIATICOS VENTAS" u="1"/>
        <s v="NACIONALIZACION ACOLCHADORA" u="1"/>
        <s v="POLIOL " u="1"/>
        <s v="ESQUINEROS CARTON" u="1"/>
        <s v="QUIMICOS " u="1"/>
        <s v="NACIONALIZACION ALAMBRE ESPUMA" u="1"/>
        <s v="TRICOT - POLISEDA" u="1"/>
        <s v="GRAPAS - TARIMA" u="1"/>
        <s v="NACIONALIZACION / SISAL - CINTAS" u="1"/>
        <s v="NACIONALZACION TDI" u="1"/>
      </sharedItems>
    </cacheField>
    <cacheField name="CONDICION DEUDA" numFmtId="0">
      <sharedItems containsBlank="1" count="8">
        <s v="CANCELADA"/>
        <s v="PENDIENTE DE PAGO"/>
        <m/>
        <s v="RENOVADA CANCELADA" u="1"/>
        <s v="NO SE PAGO" u="1"/>
        <s v="POR ENVIAR" u="1"/>
        <s v="LT CANJEADA" u="1"/>
        <s v="RETIRO LA LT" u="1"/>
      </sharedItems>
    </cacheField>
    <cacheField name="FP" numFmtId="0">
      <sharedItems containsNonDate="0" containsDate="1" containsString="0" containsBlank="1" minDate="2024-12-31T00:00:00" maxDate="2026-02-25T00:00:00"/>
    </cacheField>
    <cacheField name="DOLARES" numFmtId="0">
      <sharedItems containsSemiMixedTypes="0" containsString="0" containsNumber="1" minValue="-26.849315068493151" maxValue="124953"/>
    </cacheField>
    <cacheField name="Meses (Fecha de Vencimiento)" numFmtId="0" databaseField="0">
      <fieldGroup base="4">
        <rangePr groupBy="months" startDate="2022-03-23T00:00:00" endDate="2027-05-03T00:00:00"/>
        <groupItems count="14">
          <s v="&lt;23/03/2022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3/05/2027"/>
        </groupItems>
      </fieldGroup>
    </cacheField>
  </cacheFields>
  <extLst>
    <ext xmlns:x14="http://schemas.microsoft.com/office/spreadsheetml/2009/9/main" uri="{725AE2AE-9491-48be-B2B4-4EB974FC3084}">
      <x14:pivotCacheDefinition pivotCacheId="112576874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9">
  <r>
    <m/>
    <s v="LT 07-24"/>
    <x v="0"/>
    <x v="0"/>
    <x v="0"/>
    <n v="574"/>
    <n v="5000"/>
    <n v="0"/>
    <n v="5000"/>
    <s v="DOLARES"/>
    <x v="0"/>
    <x v="0"/>
    <x v="0"/>
    <d v="2025-03-30T00:00:00"/>
    <n v="5000"/>
  </r>
  <r>
    <m/>
    <s v="LT 08-24"/>
    <x v="0"/>
    <x v="0"/>
    <x v="1"/>
    <n v="543"/>
    <n v="5000"/>
    <n v="0"/>
    <n v="5000"/>
    <s v="DOLARES"/>
    <x v="0"/>
    <x v="0"/>
    <x v="0"/>
    <d v="2025-10-03T00:00:00"/>
    <n v="5000"/>
  </r>
  <r>
    <m/>
    <s v="LT 09-24"/>
    <x v="0"/>
    <x v="0"/>
    <x v="2"/>
    <n v="513"/>
    <n v="5000"/>
    <n v="0"/>
    <n v="5000"/>
    <s v="DOLARES"/>
    <x v="0"/>
    <x v="0"/>
    <x v="1"/>
    <m/>
    <n v="5000"/>
  </r>
  <r>
    <m/>
    <s v="LT 10-24"/>
    <x v="0"/>
    <x v="0"/>
    <x v="3"/>
    <n v="482"/>
    <n v="5000"/>
    <n v="0"/>
    <n v="5000"/>
    <s v="DOLARES"/>
    <x v="0"/>
    <x v="0"/>
    <x v="1"/>
    <m/>
    <n v="5000"/>
  </r>
  <r>
    <m/>
    <s v="LT 11-24"/>
    <x v="0"/>
    <x v="0"/>
    <x v="4"/>
    <n v="452"/>
    <n v="5000"/>
    <n v="0"/>
    <n v="5000"/>
    <s v="DOLARES"/>
    <x v="0"/>
    <x v="0"/>
    <x v="1"/>
    <m/>
    <n v="5000"/>
  </r>
  <r>
    <m/>
    <s v="LT 12-24"/>
    <x v="0"/>
    <x v="0"/>
    <x v="5"/>
    <n v="421"/>
    <n v="5000"/>
    <n v="0"/>
    <n v="5000"/>
    <s v="DOLARES"/>
    <x v="0"/>
    <x v="0"/>
    <x v="1"/>
    <m/>
    <n v="5000"/>
  </r>
  <r>
    <s v="APLAZAMIENTO"/>
    <s v="FEBRERO"/>
    <x v="1"/>
    <x v="1"/>
    <x v="6"/>
    <n v="418"/>
    <n v="21726"/>
    <n v="0"/>
    <n v="21726"/>
    <s v="SOLES"/>
    <x v="1"/>
    <x v="1"/>
    <x v="0"/>
    <d v="2025-01-08T00:00:00"/>
    <n v="5952.3287671232874"/>
  </r>
  <r>
    <s v="691_2439_4"/>
    <s v="LT 107"/>
    <x v="2"/>
    <x v="2"/>
    <x v="7"/>
    <n v="417"/>
    <n v="1700"/>
    <n v="0"/>
    <n v="1700"/>
    <s v="SOLES"/>
    <x v="1"/>
    <x v="2"/>
    <x v="0"/>
    <d v="2025-01-04T00:00:00"/>
    <n v="465.75342465753425"/>
  </r>
  <r>
    <s v="VENCE 05/01"/>
    <s v="BDC-800"/>
    <x v="3"/>
    <x v="2"/>
    <x v="7"/>
    <n v="417"/>
    <n v="154"/>
    <n v="0"/>
    <n v="154"/>
    <s v="SOLES"/>
    <x v="1"/>
    <x v="3"/>
    <x v="0"/>
    <d v="2025-01-09T00:00:00"/>
    <n v="42.19178082191781"/>
  </r>
  <r>
    <s v="ETA 05/01"/>
    <s v="SHENZHEN GUKANGLI"/>
    <x v="4"/>
    <x v="2"/>
    <x v="7"/>
    <n v="417"/>
    <n v="25753.45"/>
    <n v="0"/>
    <n v="25753.45"/>
    <s v="SOLES"/>
    <x v="1"/>
    <x v="4"/>
    <x v="0"/>
    <d v="2024-12-31T00:00:00"/>
    <n v="7055.7397260273974"/>
  </r>
  <r>
    <s v="684_6062_0"/>
    <s v="LT 105"/>
    <x v="2"/>
    <x v="2"/>
    <x v="8"/>
    <n v="414"/>
    <n v="4715.28"/>
    <n v="0"/>
    <n v="4715.28"/>
    <s v="SOLES"/>
    <x v="1"/>
    <x v="5"/>
    <x v="0"/>
    <d v="2025-01-07T00:00:00"/>
    <n v="1291.8575342465754"/>
  </r>
  <r>
    <s v="685_3857_6"/>
    <s v="LT 104"/>
    <x v="2"/>
    <x v="2"/>
    <x v="8"/>
    <n v="414"/>
    <n v="3492.86"/>
    <n v="0"/>
    <n v="3492.86"/>
    <s v="SOLES"/>
    <x v="1"/>
    <x v="5"/>
    <x v="0"/>
    <d v="2025-01-07T00:00:00"/>
    <n v="956.94794520547953"/>
  </r>
  <r>
    <m/>
    <s v="6241630 SUMINISTRO"/>
    <x v="5"/>
    <x v="2"/>
    <x v="8"/>
    <n v="414"/>
    <n v="62.1"/>
    <n v="0"/>
    <n v="62.1"/>
    <s v="SOLES"/>
    <x v="1"/>
    <x v="6"/>
    <x v="0"/>
    <d v="2025-01-07T00:00:00"/>
    <n v="17.013698630136986"/>
  </r>
  <r>
    <m/>
    <s v="FACT F001-9520"/>
    <x v="6"/>
    <x v="2"/>
    <x v="8"/>
    <n v="414"/>
    <n v="1688"/>
    <n v="0"/>
    <n v="1688"/>
    <s v="SOLES"/>
    <x v="1"/>
    <x v="7"/>
    <x v="0"/>
    <d v="2025-01-15T00:00:00"/>
    <n v="462.46575342465752"/>
  </r>
  <r>
    <m/>
    <s v="DICIEMBRE PERIODO"/>
    <x v="7"/>
    <x v="2"/>
    <x v="8"/>
    <n v="414"/>
    <n v="2575"/>
    <n v="0"/>
    <n v="2575"/>
    <s v="SOLES"/>
    <x v="1"/>
    <x v="8"/>
    <x v="0"/>
    <d v="2025-01-07T00:00:00"/>
    <n v="705.47945205479459"/>
  </r>
  <r>
    <m/>
    <s v="DICIEMBRE PERIODO"/>
    <x v="7"/>
    <x v="3"/>
    <x v="8"/>
    <n v="414"/>
    <n v="1513"/>
    <n v="0"/>
    <n v="1513"/>
    <s v="SOLES"/>
    <x v="1"/>
    <x v="8"/>
    <x v="0"/>
    <d v="2025-01-07T00:00:00"/>
    <n v="414.52054794520546"/>
  </r>
  <r>
    <m/>
    <s v="DICIEMBRE PERIODO"/>
    <x v="7"/>
    <x v="1"/>
    <x v="8"/>
    <n v="414"/>
    <n v="420"/>
    <n v="0"/>
    <n v="420"/>
    <s v="SOLES"/>
    <x v="1"/>
    <x v="8"/>
    <x v="0"/>
    <d v="2025-01-08T00:00:00"/>
    <n v="115.06849315068493"/>
  </r>
  <r>
    <m/>
    <s v="DICIEMBRE PERIODO"/>
    <x v="8"/>
    <x v="2"/>
    <x v="9"/>
    <n v="413"/>
    <n v="2520"/>
    <n v="0"/>
    <n v="2520"/>
    <s v="SOLES"/>
    <x v="1"/>
    <x v="1"/>
    <x v="0"/>
    <d v="2025-01-08T00:00:00"/>
    <n v="690.41095890410963"/>
  </r>
  <r>
    <m/>
    <s v="DICIEMBRE PERIODO"/>
    <x v="8"/>
    <x v="3"/>
    <x v="9"/>
    <n v="413"/>
    <n v="1210"/>
    <n v="0"/>
    <n v="1210"/>
    <s v="SOLES"/>
    <x v="1"/>
    <x v="1"/>
    <x v="0"/>
    <d v="2025-01-08T00:00:00"/>
    <n v="331.50684931506851"/>
  </r>
  <r>
    <m/>
    <s v="DICIEMBRE PERIODO"/>
    <x v="8"/>
    <x v="1"/>
    <x v="9"/>
    <n v="413"/>
    <n v="465"/>
    <n v="0"/>
    <n v="465"/>
    <s v="SOLES"/>
    <x v="1"/>
    <x v="1"/>
    <x v="0"/>
    <d v="2025-01-08T00:00:00"/>
    <n v="127.39726027397261"/>
  </r>
  <r>
    <m/>
    <s v="0883909 SUMNISTRO"/>
    <x v="9"/>
    <x v="3"/>
    <x v="9"/>
    <n v="413"/>
    <n v="1911.5"/>
    <n v="0"/>
    <n v="1911.5"/>
    <s v="SOLES"/>
    <x v="1"/>
    <x v="9"/>
    <x v="0"/>
    <d v="2025-01-08T00:00:00"/>
    <n v="523.69863013698637"/>
  </r>
  <r>
    <m/>
    <s v="1975640 SUMINISTRO"/>
    <x v="9"/>
    <x v="3"/>
    <x v="9"/>
    <n v="413"/>
    <n v="252.5"/>
    <n v="0"/>
    <n v="252.5"/>
    <s v="SOLES"/>
    <x v="1"/>
    <x v="9"/>
    <x v="0"/>
    <d v="2025-01-08T00:00:00"/>
    <n v="69.178082191780817"/>
  </r>
  <r>
    <m/>
    <m/>
    <x v="10"/>
    <x v="3"/>
    <x v="9"/>
    <n v="413"/>
    <n v="17000"/>
    <n v="0"/>
    <n v="17000"/>
    <s v="SOLES"/>
    <x v="1"/>
    <x v="10"/>
    <x v="0"/>
    <d v="2025-01-08T00:00:00"/>
    <n v="4657.5342465753429"/>
  </r>
  <r>
    <m/>
    <m/>
    <x v="10"/>
    <x v="2"/>
    <x v="9"/>
    <n v="413"/>
    <n v="17000"/>
    <n v="0"/>
    <n v="17000"/>
    <s v="SOLES"/>
    <x v="1"/>
    <x v="10"/>
    <x v="0"/>
    <d v="2025-01-08T00:00:00"/>
    <n v="4657.5342465753429"/>
  </r>
  <r>
    <m/>
    <s v="FACT F001-0076366"/>
    <x v="11"/>
    <x v="3"/>
    <x v="10"/>
    <n v="411"/>
    <n v="4948.92"/>
    <n v="0"/>
    <n v="4948.92"/>
    <s v="DOLARES"/>
    <x v="1"/>
    <x v="11"/>
    <x v="0"/>
    <d v="2025-01-10T00:00:00"/>
    <n v="4948.92"/>
  </r>
  <r>
    <s v="ETA 04/01"/>
    <s v="INVOICE TF-2794"/>
    <x v="12"/>
    <x v="3"/>
    <x v="10"/>
    <n v="411"/>
    <n v="18392.88"/>
    <n v="0"/>
    <n v="18392.88"/>
    <s v="DOLARES"/>
    <x v="1"/>
    <x v="12"/>
    <x v="0"/>
    <d v="2025-01-16T00:00:00"/>
    <n v="18392.88"/>
  </r>
  <r>
    <n v="2972401421"/>
    <s v="LT 0005240"/>
    <x v="13"/>
    <x v="2"/>
    <x v="11"/>
    <n v="409"/>
    <n v="30280.93"/>
    <n v="0"/>
    <n v="30280.93"/>
    <s v="SOLES"/>
    <x v="2"/>
    <x v="13"/>
    <x v="0"/>
    <d v="2025-01-11T00:00:00"/>
    <n v="8296.1452054794518"/>
  </r>
  <r>
    <n v="2972401423"/>
    <s v="LT 0004563"/>
    <x v="13"/>
    <x v="2"/>
    <x v="11"/>
    <n v="409"/>
    <n v="21547.18"/>
    <n v="0"/>
    <n v="21547.18"/>
    <s v="SOLES"/>
    <x v="2"/>
    <x v="13"/>
    <x v="0"/>
    <d v="2025-01-11T00:00:00"/>
    <n v="5903.3369863013704"/>
  </r>
  <r>
    <s v="690_5109_3"/>
    <s v="LT 1242-2024"/>
    <x v="14"/>
    <x v="2"/>
    <x v="12"/>
    <n v="408"/>
    <n v="4315.68"/>
    <n v="0"/>
    <n v="4315.68"/>
    <s v="DOLARES"/>
    <x v="1"/>
    <x v="14"/>
    <x v="0"/>
    <d v="2025-01-13T00:00:00"/>
    <n v="4315.68"/>
  </r>
  <r>
    <s v="DES 90,000"/>
    <s v="CUOTA 10 DE 24"/>
    <x v="15"/>
    <x v="2"/>
    <x v="12"/>
    <n v="408"/>
    <n v="4280.91"/>
    <n v="0"/>
    <n v="4280.91"/>
    <s v="SOLES"/>
    <x v="1"/>
    <x v="15"/>
    <x v="0"/>
    <d v="2025-01-13T00:00:00"/>
    <n v="1172.8520547945204"/>
  </r>
  <r>
    <m/>
    <s v="DICIEMBRE PERIODO"/>
    <x v="16"/>
    <x v="2"/>
    <x v="13"/>
    <n v="407"/>
    <n v="3590"/>
    <n v="0"/>
    <n v="3590"/>
    <s v="SOLES"/>
    <x v="1"/>
    <x v="1"/>
    <x v="0"/>
    <d v="2025-01-14T00:00:00"/>
    <n v="983.56164383561645"/>
  </r>
  <r>
    <s v="DES 200,700"/>
    <s v="CUOTA 19 DE 24"/>
    <x v="17"/>
    <x v="1"/>
    <x v="14"/>
    <n v="406"/>
    <n v="9770.31"/>
    <n v="0"/>
    <n v="9770.31"/>
    <s v="SOLES"/>
    <x v="1"/>
    <x v="15"/>
    <x v="0"/>
    <d v="2025-01-15T00:00:00"/>
    <n v="2676.7972602739724"/>
  </r>
  <r>
    <s v="690_2795_4"/>
    <s v="LT 6973"/>
    <x v="18"/>
    <x v="2"/>
    <x v="14"/>
    <n v="406"/>
    <n v="787.65"/>
    <n v="0"/>
    <n v="787.65"/>
    <s v="DOLARES"/>
    <x v="1"/>
    <x v="16"/>
    <x v="0"/>
    <d v="2025-01-15T00:00:00"/>
    <n v="787.65"/>
  </r>
  <r>
    <m/>
    <m/>
    <x v="19"/>
    <x v="3"/>
    <x v="14"/>
    <n v="406"/>
    <n v="55000"/>
    <n v="1650"/>
    <n v="53350"/>
    <s v="SOLES"/>
    <x v="1"/>
    <x v="17"/>
    <x v="0"/>
    <d v="2025-01-15T00:00:00"/>
    <n v="14616.438356164384"/>
  </r>
  <r>
    <s v="690_5109_4"/>
    <s v="LT 1243-2024"/>
    <x v="14"/>
    <x v="2"/>
    <x v="15"/>
    <n v="405"/>
    <n v="9843.2800000000007"/>
    <n v="0"/>
    <n v="9843.2800000000007"/>
    <s v="DOLARES"/>
    <x v="1"/>
    <x v="14"/>
    <x v="0"/>
    <d v="2025-01-16T00:00:00"/>
    <n v="9843.2800000000007"/>
  </r>
  <r>
    <m/>
    <s v="6241635 SUMINISTRO"/>
    <x v="5"/>
    <x v="3"/>
    <x v="15"/>
    <n v="405"/>
    <n v="2194.4"/>
    <n v="0"/>
    <n v="2194.4"/>
    <s v="SOLES"/>
    <x v="1"/>
    <x v="6"/>
    <x v="0"/>
    <d v="2025-01-16T00:00:00"/>
    <n v="601.20547945205487"/>
  </r>
  <r>
    <m/>
    <s v="DICIEMBRE PERIODO"/>
    <x v="16"/>
    <x v="3"/>
    <x v="15"/>
    <n v="405"/>
    <n v="3525"/>
    <n v="0"/>
    <n v="3525"/>
    <s v="SOLES"/>
    <x v="1"/>
    <x v="1"/>
    <x v="0"/>
    <d v="2025-01-16T00:00:00"/>
    <n v="965.75342465753431"/>
  </r>
  <r>
    <m/>
    <s v="LT 01 - 25"/>
    <x v="0"/>
    <x v="0"/>
    <x v="16"/>
    <n v="390"/>
    <n v="5000"/>
    <n v="0"/>
    <n v="5000"/>
    <s v="DOLARES"/>
    <x v="0"/>
    <x v="0"/>
    <x v="1"/>
    <m/>
    <n v="5000"/>
  </r>
  <r>
    <m/>
    <s v="LT 02-25"/>
    <x v="0"/>
    <x v="0"/>
    <x v="17"/>
    <n v="362"/>
    <n v="5000"/>
    <n v="0"/>
    <n v="5000"/>
    <s v="DOLARES"/>
    <x v="0"/>
    <x v="0"/>
    <x v="1"/>
    <m/>
    <n v="5000"/>
  </r>
  <r>
    <m/>
    <s v="LT 101"/>
    <x v="2"/>
    <x v="3"/>
    <x v="18"/>
    <n v="475"/>
    <n v="5354.13"/>
    <n v="0"/>
    <n v="5354.13"/>
    <s v="SOLES"/>
    <x v="3"/>
    <x v="5"/>
    <x v="0"/>
    <d v="2025-04-02T00:00:00"/>
    <n v="1466.8849315068494"/>
  </r>
  <r>
    <m/>
    <s v="DICIEMBRE PERIODO"/>
    <x v="20"/>
    <x v="0"/>
    <x v="15"/>
    <n v="405"/>
    <n v="2625"/>
    <n v="0"/>
    <n v="2625"/>
    <s v="SOLES"/>
    <x v="1"/>
    <x v="1"/>
    <x v="0"/>
    <d v="2025-01-17T00:00:00"/>
    <n v="719.17808219178085"/>
  </r>
  <r>
    <s v="VENCE 18/01"/>
    <s v="D2I-881"/>
    <x v="3"/>
    <x v="3"/>
    <x v="19"/>
    <n v="404"/>
    <n v="180"/>
    <n v="0"/>
    <n v="180"/>
    <s v="SOLES"/>
    <x v="1"/>
    <x v="3"/>
    <x v="0"/>
    <d v="2025-01-22T00:00:00"/>
    <n v="49.315068493150683"/>
  </r>
  <r>
    <m/>
    <m/>
    <x v="21"/>
    <x v="3"/>
    <x v="19"/>
    <n v="404"/>
    <n v="1219"/>
    <n v="0"/>
    <n v="1219"/>
    <s v="SOLES"/>
    <x v="1"/>
    <x v="1"/>
    <x v="0"/>
    <d v="2025-01-17T00:00:00"/>
    <n v="333.97260273972603"/>
  </r>
  <r>
    <s v="690_8933_2"/>
    <s v="LT 2824"/>
    <x v="22"/>
    <x v="2"/>
    <x v="20"/>
    <n v="401"/>
    <n v="1197.7"/>
    <n v="0"/>
    <n v="1197.7"/>
    <s v="DOLARES"/>
    <x v="1"/>
    <x v="18"/>
    <x v="0"/>
    <d v="2025-01-20T00:00:00"/>
    <n v="1197.7"/>
  </r>
  <r>
    <m/>
    <s v="DICIEMBRE PERIODO"/>
    <x v="16"/>
    <x v="1"/>
    <x v="20"/>
    <n v="401"/>
    <n v="2145"/>
    <n v="0"/>
    <n v="2145"/>
    <s v="SOLES"/>
    <x v="1"/>
    <x v="1"/>
    <x v="0"/>
    <d v="2025-01-20T00:00:00"/>
    <n v="587.67123287671234"/>
  </r>
  <r>
    <m/>
    <s v="2749963 SUMINISTRO"/>
    <x v="9"/>
    <x v="2"/>
    <x v="21"/>
    <n v="400"/>
    <n v="9121.5"/>
    <n v="0"/>
    <n v="9121.5"/>
    <s v="SOLES"/>
    <x v="1"/>
    <x v="9"/>
    <x v="0"/>
    <d v="2025-01-21T00:00:00"/>
    <n v="2499.0410958904108"/>
  </r>
  <r>
    <s v="688_0210_4"/>
    <s v="LT 08642-11-00"/>
    <x v="23"/>
    <x v="2"/>
    <x v="21"/>
    <n v="400"/>
    <n v="5938.09"/>
    <n v="0"/>
    <n v="5938.09"/>
    <s v="DOLARES"/>
    <x v="1"/>
    <x v="19"/>
    <x v="0"/>
    <d v="2025-01-21T00:00:00"/>
    <n v="5938.09"/>
  </r>
  <r>
    <m/>
    <s v="DICIEMBRE PERIODO"/>
    <x v="24"/>
    <x v="2"/>
    <x v="22"/>
    <n v="399"/>
    <n v="8323"/>
    <n v="0"/>
    <n v="8323"/>
    <s v="SOLES"/>
    <x v="1"/>
    <x v="1"/>
    <x v="0"/>
    <d v="2025-01-22T00:00:00"/>
    <n v="2280.2739726027398"/>
  </r>
  <r>
    <s v="687_1527_4"/>
    <s v="LT 1062-2024"/>
    <x v="2"/>
    <x v="2"/>
    <x v="22"/>
    <n v="399"/>
    <n v="2601.4299999999998"/>
    <n v="0"/>
    <n v="2601.4299999999998"/>
    <s v="SOLES"/>
    <x v="1"/>
    <x v="5"/>
    <x v="0"/>
    <d v="2025-01-22T00:00:00"/>
    <n v="712.72054794520545"/>
  </r>
  <r>
    <s v="ETA 20/12"/>
    <s v="INVOICE 62024/0867"/>
    <x v="25"/>
    <x v="1"/>
    <x v="23"/>
    <n v="398"/>
    <n v="45823.77"/>
    <n v="0"/>
    <n v="45823.77"/>
    <s v="DOLARES"/>
    <x v="1"/>
    <x v="14"/>
    <x v="0"/>
    <d v="2025-01-23T00:00:00"/>
    <n v="45823.77"/>
  </r>
  <r>
    <s v="ETA 20/12"/>
    <s v="INVOICE 62024/0015"/>
    <x v="26"/>
    <x v="3"/>
    <x v="23"/>
    <n v="398"/>
    <n v="24661.919999999998"/>
    <n v="0"/>
    <n v="24661.919999999998"/>
    <s v="DOLARES"/>
    <x v="1"/>
    <x v="14"/>
    <x v="0"/>
    <d v="2025-01-31T00:00:00"/>
    <n v="24661.919999999998"/>
  </r>
  <r>
    <s v="CRED 113,099"/>
    <s v="CUOTA 17 DE 24"/>
    <x v="27"/>
    <x v="3"/>
    <x v="23"/>
    <n v="398"/>
    <n v="5387.89"/>
    <n v="0"/>
    <n v="5387.89"/>
    <s v="SOLES"/>
    <x v="2"/>
    <x v="15"/>
    <x v="0"/>
    <d v="2025-01-23T00:00:00"/>
    <n v="1476.1342465753426"/>
  </r>
  <r>
    <s v="TASA 12.40%"/>
    <s v="IMPT 50K"/>
    <x v="28"/>
    <x v="3"/>
    <x v="23"/>
    <n v="398"/>
    <n v="51482.73"/>
    <n v="0"/>
    <n v="51482.73"/>
    <s v="DOLARES"/>
    <x v="1"/>
    <x v="15"/>
    <x v="0"/>
    <d v="2025-01-24T00:00:00"/>
    <n v="51482.73"/>
  </r>
  <r>
    <m/>
    <s v="CUOTA 8 DE 33"/>
    <x v="29"/>
    <x v="1"/>
    <x v="24"/>
    <n v="397"/>
    <n v="2573.63"/>
    <n v="0"/>
    <n v="2573.63"/>
    <s v="SOLES"/>
    <x v="2"/>
    <x v="15"/>
    <x v="0"/>
    <d v="2025-01-23T00:00:00"/>
    <n v="705.10410958904117"/>
  </r>
  <r>
    <s v="690_5109_5"/>
    <s v="LT 1257-2024"/>
    <x v="14"/>
    <x v="2"/>
    <x v="24"/>
    <n v="397"/>
    <n v="1268.31"/>
    <n v="0"/>
    <n v="1268.31"/>
    <s v="DOLARES"/>
    <x v="1"/>
    <x v="14"/>
    <x v="0"/>
    <d v="2025-01-24T00:00:00"/>
    <n v="1268.31"/>
  </r>
  <r>
    <m/>
    <s v="FACT F001-9643"/>
    <x v="6"/>
    <x v="2"/>
    <x v="24"/>
    <n v="397"/>
    <n v="2088"/>
    <n v="0"/>
    <n v="2088"/>
    <s v="SOLES"/>
    <x v="1"/>
    <x v="7"/>
    <x v="0"/>
    <d v="2025-02-06T00:00:00"/>
    <n v="572.05479452054794"/>
  </r>
  <r>
    <m/>
    <s v="DICIEMBRE PERIODO"/>
    <x v="1"/>
    <x v="3"/>
    <x v="24"/>
    <n v="397"/>
    <n v="34390"/>
    <n v="0"/>
    <n v="34390"/>
    <s v="SOLES"/>
    <x v="1"/>
    <x v="1"/>
    <x v="0"/>
    <d v="2025-01-24T00:00:00"/>
    <n v="9421.9178082191775"/>
  </r>
  <r>
    <m/>
    <s v="FACT E001-382"/>
    <x v="30"/>
    <x v="3"/>
    <x v="24"/>
    <n v="397"/>
    <n v="647.5"/>
    <n v="0"/>
    <n v="647.5"/>
    <s v="SOLES"/>
    <x v="1"/>
    <x v="20"/>
    <x v="0"/>
    <d v="2025-02-06T00:00:00"/>
    <n v="177.39726027397262"/>
  </r>
  <r>
    <m/>
    <m/>
    <x v="31"/>
    <x v="0"/>
    <x v="25"/>
    <n v="396"/>
    <n v="80000"/>
    <n v="0"/>
    <n v="80000"/>
    <s v="SOLES"/>
    <x v="0"/>
    <x v="21"/>
    <x v="0"/>
    <d v="2025-01-27T00:00:00"/>
    <n v="21917.808219178081"/>
  </r>
  <r>
    <m/>
    <s v="FACT E001-575"/>
    <x v="32"/>
    <x v="2"/>
    <x v="26"/>
    <n v="395"/>
    <n v="3322.6"/>
    <n v="0"/>
    <n v="3322.6"/>
    <s v="SOLES"/>
    <x v="1"/>
    <x v="19"/>
    <x v="0"/>
    <d v="2025-02-06T00:00:00"/>
    <n v="910.30136986301375"/>
  </r>
  <r>
    <s v="693_1465_9"/>
    <s v="LT 1284-2024"/>
    <x v="14"/>
    <x v="2"/>
    <x v="27"/>
    <n v="394"/>
    <n v="5368.59"/>
    <n v="0"/>
    <n v="5368.59"/>
    <s v="DOLARES"/>
    <x v="1"/>
    <x v="14"/>
    <x v="0"/>
    <d v="2025-01-27T00:00:00"/>
    <n v="5368.59"/>
  </r>
  <r>
    <m/>
    <s v="CUOTA 56 DE 114"/>
    <x v="33"/>
    <x v="3"/>
    <x v="28"/>
    <n v="393"/>
    <n v="24759.8"/>
    <n v="0"/>
    <n v="24759.8"/>
    <s v="SOLES"/>
    <x v="1"/>
    <x v="15"/>
    <x v="0"/>
    <d v="2025-01-28T00:00:00"/>
    <n v="6783.5068493150684"/>
  </r>
  <r>
    <s v="693_5486_2"/>
    <s v="LT 08659-11-00"/>
    <x v="23"/>
    <x v="3"/>
    <x v="28"/>
    <n v="393"/>
    <n v="2257.94"/>
    <n v="0"/>
    <n v="2257.94"/>
    <s v="DOLARES"/>
    <x v="1"/>
    <x v="19"/>
    <x v="0"/>
    <d v="2025-01-28T00:00:00"/>
    <n v="2257.94"/>
  </r>
  <r>
    <n v="10020762"/>
    <s v="LT 7003"/>
    <x v="18"/>
    <x v="2"/>
    <x v="28"/>
    <n v="393"/>
    <n v="3731.75"/>
    <n v="0"/>
    <n v="3731.75"/>
    <s v="DOLARES"/>
    <x v="4"/>
    <x v="16"/>
    <x v="0"/>
    <d v="2025-01-28T00:00:00"/>
    <n v="3731.75"/>
  </r>
  <r>
    <s v="693_3090_9"/>
    <s v="LT PP24-1839"/>
    <x v="34"/>
    <x v="3"/>
    <x v="28"/>
    <n v="393"/>
    <n v="1761.77"/>
    <n v="0"/>
    <n v="1761.77"/>
    <s v="DOLARES"/>
    <x v="1"/>
    <x v="22"/>
    <x v="0"/>
    <d v="2025-01-28T00:00:00"/>
    <n v="1761.77"/>
  </r>
  <r>
    <m/>
    <s v="DICIEMBRE PERIODO"/>
    <x v="24"/>
    <x v="1"/>
    <x v="29"/>
    <n v="392"/>
    <n v="2900"/>
    <n v="0"/>
    <n v="2900"/>
    <s v="SOLES"/>
    <x v="1"/>
    <x v="1"/>
    <x v="0"/>
    <d v="2025-01-30T00:00:00"/>
    <n v="794.52054794520552"/>
  </r>
  <r>
    <s v="693_5486_3"/>
    <s v="LT 08675-11-00"/>
    <x v="23"/>
    <x v="3"/>
    <x v="29"/>
    <n v="392"/>
    <n v="5568.94"/>
    <n v="0"/>
    <n v="5568.94"/>
    <s v="DOLARES"/>
    <x v="1"/>
    <x v="19"/>
    <x v="0"/>
    <d v="2025-01-29T00:00:00"/>
    <n v="5568.94"/>
  </r>
  <r>
    <m/>
    <s v="FACT F001-9743"/>
    <x v="6"/>
    <x v="2"/>
    <x v="30"/>
    <n v="391"/>
    <n v="2800"/>
    <n v="0"/>
    <n v="2800"/>
    <s v="SOLES"/>
    <x v="1"/>
    <x v="7"/>
    <x v="0"/>
    <d v="2025-02-11T00:00:00"/>
    <n v="767.1232876712329"/>
  </r>
  <r>
    <s v="TASA 15%"/>
    <s v="CUOTA 01 DE 24"/>
    <x v="35"/>
    <x v="1"/>
    <x v="30"/>
    <n v="391"/>
    <n v="9768.16"/>
    <n v="0"/>
    <n v="9768.16"/>
    <s v="SOLES"/>
    <x v="1"/>
    <x v="15"/>
    <x v="0"/>
    <d v="2025-01-30T00:00:00"/>
    <n v="2676.2082191780823"/>
  </r>
  <r>
    <s v="DES 128,000"/>
    <s v="CUOTA 16 DE 24"/>
    <x v="36"/>
    <x v="1"/>
    <x v="30"/>
    <n v="391"/>
    <n v="6174.34"/>
    <m/>
    <n v="6174.34"/>
    <s v="SOLES"/>
    <x v="1"/>
    <x v="15"/>
    <x v="0"/>
    <d v="2025-01-30T00:00:00"/>
    <n v="1691.6000000000001"/>
  </r>
  <r>
    <m/>
    <m/>
    <x v="19"/>
    <x v="3"/>
    <x v="30"/>
    <n v="391"/>
    <n v="55000"/>
    <n v="0"/>
    <n v="55000"/>
    <s v="SOLES"/>
    <x v="1"/>
    <x v="17"/>
    <x v="0"/>
    <d v="2025-02-01T00:00:00"/>
    <n v="15068.493150684932"/>
  </r>
  <r>
    <s v="ETA 03/02"/>
    <s v="FAPRICELLA"/>
    <x v="4"/>
    <x v="2"/>
    <x v="16"/>
    <n v="390"/>
    <n v="56474.78"/>
    <n v="0"/>
    <n v="63798.89"/>
    <s v="SOLES"/>
    <x v="1"/>
    <x v="23"/>
    <x v="0"/>
    <d v="2025-01-29T00:00:00"/>
    <n v="17479.147945205481"/>
  </r>
  <r>
    <s v="ETA 02/02"/>
    <s v="JIA XING XINJIE"/>
    <x v="4"/>
    <x v="2"/>
    <x v="16"/>
    <n v="390"/>
    <n v="26897.83"/>
    <n v="0"/>
    <n v="26897.83"/>
    <s v="SOLES"/>
    <x v="1"/>
    <x v="24"/>
    <x v="0"/>
    <d v="2025-01-31T00:00:00"/>
    <n v="7369.2684931506856"/>
  </r>
  <r>
    <s v="ETA 29/11"/>
    <s v="INVOICE ELK-241018-2K"/>
    <x v="37"/>
    <x v="3"/>
    <x v="31"/>
    <n v="387"/>
    <n v="27102.9"/>
    <n v="0"/>
    <n v="27102.9"/>
    <s v="DOLARES"/>
    <x v="1"/>
    <x v="25"/>
    <x v="0"/>
    <d v="2025-02-06T00:00:00"/>
    <n v="27102.9"/>
  </r>
  <r>
    <n v="3182401639"/>
    <s v="LT 000640"/>
    <x v="38"/>
    <x v="2"/>
    <x v="32"/>
    <n v="384"/>
    <n v="6923"/>
    <n v="0"/>
    <n v="6923"/>
    <s v="DOLARES"/>
    <x v="2"/>
    <x v="26"/>
    <x v="0"/>
    <d v="2025-02-06T00:00:00"/>
    <n v="6923"/>
  </r>
  <r>
    <m/>
    <s v="FACT E001-580"/>
    <x v="32"/>
    <x v="2"/>
    <x v="32"/>
    <n v="384"/>
    <n v="3843.58"/>
    <n v="0"/>
    <n v="3843.58"/>
    <s v="SOLES"/>
    <x v="1"/>
    <x v="19"/>
    <x v="0"/>
    <d v="2025-02-18T00:00:00"/>
    <n v="1053.0356164383561"/>
  </r>
  <r>
    <m/>
    <s v="6241625 SUMINISTRO"/>
    <x v="5"/>
    <x v="0"/>
    <x v="32"/>
    <n v="384"/>
    <n v="32.9"/>
    <n v="0"/>
    <n v="32.9"/>
    <s v="SOLES"/>
    <x v="1"/>
    <x v="6"/>
    <x v="0"/>
    <d v="2025-02-07T00:00:00"/>
    <n v="9.0136986301369859"/>
  </r>
  <r>
    <m/>
    <s v="6241630 SUMINISTRO"/>
    <x v="5"/>
    <x v="2"/>
    <x v="32"/>
    <n v="384"/>
    <n v="48.4"/>
    <n v="0"/>
    <n v="48.4"/>
    <s v="SOLES"/>
    <x v="1"/>
    <x v="6"/>
    <x v="0"/>
    <d v="2025-02-06T00:00:00"/>
    <n v="13.260273972602739"/>
  </r>
  <r>
    <m/>
    <s v="0883909 SUMNISTRO"/>
    <x v="9"/>
    <x v="3"/>
    <x v="33"/>
    <n v="383"/>
    <n v="2123"/>
    <n v="0"/>
    <n v="2123"/>
    <s v="SOLES"/>
    <x v="1"/>
    <x v="27"/>
    <x v="0"/>
    <d v="2025-02-07T00:00:00"/>
    <n v="581.64383561643842"/>
  </r>
  <r>
    <m/>
    <s v="1975640 SUMINISTRO"/>
    <x v="9"/>
    <x v="3"/>
    <x v="33"/>
    <n v="383"/>
    <n v="193.5"/>
    <n v="0"/>
    <n v="193.5"/>
    <s v="SOLES"/>
    <x v="1"/>
    <x v="27"/>
    <x v="0"/>
    <d v="2025-02-07T00:00:00"/>
    <n v="53.013698630136986"/>
  </r>
  <r>
    <s v="TERR NUEVO"/>
    <s v="0883907 SUMINISTRO"/>
    <x v="9"/>
    <x v="0"/>
    <x v="33"/>
    <n v="383"/>
    <n v="48.5"/>
    <n v="0"/>
    <n v="48.5"/>
    <s v="SOLES"/>
    <x v="1"/>
    <x v="27"/>
    <x v="0"/>
    <d v="2025-02-07T00:00:00"/>
    <n v="13.287671232876713"/>
  </r>
  <r>
    <n v="10020763"/>
    <s v="LT 7004"/>
    <x v="18"/>
    <x v="2"/>
    <x v="33"/>
    <n v="383"/>
    <n v="10348.129999999999"/>
    <n v="0"/>
    <n v="10348.129999999999"/>
    <s v="DOLARES"/>
    <x v="4"/>
    <x v="28"/>
    <x v="0"/>
    <d v="2025-02-07T00:00:00"/>
    <n v="10348.129999999999"/>
  </r>
  <r>
    <m/>
    <s v="ENERO PERIODO"/>
    <x v="8"/>
    <x v="2"/>
    <x v="33"/>
    <n v="383"/>
    <n v="2550"/>
    <n v="0"/>
    <n v="2550"/>
    <s v="SOLES"/>
    <x v="1"/>
    <x v="29"/>
    <x v="0"/>
    <d v="2025-02-07T00:00:00"/>
    <n v="698.63013698630141"/>
  </r>
  <r>
    <m/>
    <s v="ENERO PERIODO"/>
    <x v="8"/>
    <x v="3"/>
    <x v="33"/>
    <n v="383"/>
    <n v="1310"/>
    <n v="0"/>
    <n v="1310"/>
    <s v="SOLES"/>
    <x v="1"/>
    <x v="29"/>
    <x v="0"/>
    <d v="2025-02-07T00:00:00"/>
    <n v="358.90410958904113"/>
  </r>
  <r>
    <m/>
    <s v="ENERO PERIODO"/>
    <x v="8"/>
    <x v="1"/>
    <x v="33"/>
    <n v="383"/>
    <n v="650"/>
    <n v="0"/>
    <n v="650"/>
    <s v="SOLES"/>
    <x v="1"/>
    <x v="29"/>
    <x v="0"/>
    <d v="2025-02-07T00:00:00"/>
    <n v="178.08219178082192"/>
  </r>
  <r>
    <s v="ETA 09/12"/>
    <s v="INVOICE  ELK-241018-1K"/>
    <x v="37"/>
    <x v="3"/>
    <x v="33"/>
    <n v="383"/>
    <n v="78000"/>
    <n v="0"/>
    <n v="78000"/>
    <s v="DOLARES"/>
    <x v="1"/>
    <x v="30"/>
    <x v="0"/>
    <d v="2025-02-19T00:00:00"/>
    <n v="78000"/>
  </r>
  <r>
    <m/>
    <m/>
    <x v="10"/>
    <x v="3"/>
    <x v="34"/>
    <n v="382"/>
    <n v="17000"/>
    <n v="0"/>
    <n v="17000"/>
    <s v="SOLES"/>
    <x v="1"/>
    <x v="10"/>
    <x v="0"/>
    <d v="2025-02-12T00:00:00"/>
    <n v="4657.5342465753429"/>
  </r>
  <r>
    <m/>
    <m/>
    <x v="10"/>
    <x v="2"/>
    <x v="34"/>
    <n v="382"/>
    <n v="17000"/>
    <n v="0"/>
    <n v="17000"/>
    <s v="SOLES"/>
    <x v="1"/>
    <x v="10"/>
    <x v="0"/>
    <d v="2025-02-12T00:00:00"/>
    <n v="4657.5342465753429"/>
  </r>
  <r>
    <m/>
    <s v="FACT F001-118"/>
    <x v="39"/>
    <x v="2"/>
    <x v="34"/>
    <n v="382"/>
    <n v="566.4"/>
    <n v="0"/>
    <n v="566.4"/>
    <s v="DOLARES"/>
    <x v="1"/>
    <x v="31"/>
    <x v="0"/>
    <d v="2025-02-25T00:00:00"/>
    <n v="566.4"/>
  </r>
  <r>
    <s v="691_3798_1"/>
    <s v="FACT F001-77138"/>
    <x v="11"/>
    <x v="3"/>
    <x v="35"/>
    <n v="381"/>
    <n v="8248.2000000000007"/>
    <n v="0"/>
    <n v="8248.2000000000007"/>
    <s v="DOLARES"/>
    <x v="1"/>
    <x v="11"/>
    <x v="0"/>
    <d v="2025-02-08T00:00:00"/>
    <n v="8248.2000000000007"/>
  </r>
  <r>
    <s v="VENCE 12/02"/>
    <s v="D2B-746"/>
    <x v="3"/>
    <x v="2"/>
    <x v="36"/>
    <n v="379"/>
    <n v="180"/>
    <n v="0"/>
    <n v="180"/>
    <s v="SOLES"/>
    <x v="1"/>
    <x v="3"/>
    <x v="0"/>
    <d v="2025-02-11T00:00:00"/>
    <n v="49.315068493150683"/>
  </r>
  <r>
    <s v="DES 90,000"/>
    <s v="CUOTA 11 DE 24"/>
    <x v="15"/>
    <x v="2"/>
    <x v="37"/>
    <n v="377"/>
    <n v="4280.91"/>
    <n v="0"/>
    <n v="4280.91"/>
    <s v="SOLES"/>
    <x v="1"/>
    <x v="15"/>
    <x v="0"/>
    <d v="2025-02-13T00:00:00"/>
    <n v="1172.8520547945204"/>
  </r>
  <r>
    <s v="_x000a_694_7072_8"/>
    <s v="LT 1293-2024"/>
    <x v="14"/>
    <x v="3"/>
    <x v="38"/>
    <n v="376"/>
    <n v="2619.0100000000002"/>
    <n v="0"/>
    <n v="2619.0100000000002"/>
    <s v="SOLES"/>
    <x v="1"/>
    <x v="32"/>
    <x v="0"/>
    <d v="2025-02-15T00:00:00"/>
    <n v="717.53698630136989"/>
  </r>
  <r>
    <m/>
    <s v="ENERO PERIODO"/>
    <x v="16"/>
    <x v="2"/>
    <x v="39"/>
    <n v="375"/>
    <n v="3505"/>
    <n v="0"/>
    <n v="3505"/>
    <s v="SOLES"/>
    <x v="1"/>
    <x v="1"/>
    <x v="0"/>
    <d v="2025-02-17T00:00:00"/>
    <n v="960.27397260273972"/>
  </r>
  <r>
    <s v="TASA 15%"/>
    <s v="CUOTA 20 DE 24"/>
    <x v="17"/>
    <x v="1"/>
    <x v="39"/>
    <n v="375"/>
    <n v="9770.31"/>
    <n v="0"/>
    <n v="9770.31"/>
    <s v="SOLES"/>
    <x v="1"/>
    <x v="15"/>
    <x v="0"/>
    <d v="2025-02-15T00:00:00"/>
    <n v="2676.7972602739724"/>
  </r>
  <r>
    <m/>
    <m/>
    <x v="19"/>
    <x v="3"/>
    <x v="39"/>
    <n v="375"/>
    <n v="55000"/>
    <n v="0"/>
    <n v="55000"/>
    <s v="SOLES"/>
    <x v="1"/>
    <x v="17"/>
    <x v="0"/>
    <d v="2025-02-15T00:00:00"/>
    <n v="15068.493150684932"/>
  </r>
  <r>
    <m/>
    <s v="FACT E001-1270"/>
    <x v="40"/>
    <x v="2"/>
    <x v="39"/>
    <n v="375"/>
    <n v="2133"/>
    <n v="0"/>
    <n v="2133"/>
    <s v="SOLES"/>
    <x v="1"/>
    <x v="33"/>
    <x v="0"/>
    <d v="2025-02-25T00:00:00"/>
    <n v="584.38356164383561"/>
  </r>
  <r>
    <m/>
    <s v="ENERO PERIODO"/>
    <x v="16"/>
    <x v="3"/>
    <x v="39"/>
    <n v="375"/>
    <n v="3760"/>
    <n v="0"/>
    <n v="3760"/>
    <s v="SOLES"/>
    <x v="1"/>
    <x v="1"/>
    <x v="0"/>
    <d v="2025-02-17T00:00:00"/>
    <n v="1030.1369863013699"/>
  </r>
  <r>
    <m/>
    <s v="FACT F001-127"/>
    <x v="39"/>
    <x v="2"/>
    <x v="40"/>
    <n v="374"/>
    <n v="472"/>
    <n v="0"/>
    <n v="472"/>
    <s v="DOLARES"/>
    <x v="1"/>
    <x v="34"/>
    <x v="0"/>
    <d v="2025-03-06T00:00:00"/>
    <n v="472"/>
  </r>
  <r>
    <m/>
    <s v="ENERO PERIODO"/>
    <x v="20"/>
    <x v="0"/>
    <x v="41"/>
    <n v="373"/>
    <n v="2625"/>
    <n v="0"/>
    <n v="2625"/>
    <s v="SOLES"/>
    <x v="0"/>
    <x v="1"/>
    <x v="0"/>
    <d v="2025-02-20T00:00:00"/>
    <n v="719.17808219178085"/>
  </r>
  <r>
    <m/>
    <s v="6241635 SUMINISTRO"/>
    <x v="5"/>
    <x v="3"/>
    <x v="41"/>
    <n v="373"/>
    <n v="1893.8"/>
    <n v="0"/>
    <n v="1893.8"/>
    <s v="SOLES"/>
    <x v="1"/>
    <x v="6"/>
    <x v="0"/>
    <d v="2025-02-18T00:00:00"/>
    <n v="518.84931506849318"/>
  </r>
  <r>
    <n v="3302400636"/>
    <s v="LT 000641"/>
    <x v="38"/>
    <x v="2"/>
    <x v="41"/>
    <n v="373"/>
    <n v="7181"/>
    <n v="0"/>
    <n v="7181"/>
    <s v="DOLARES"/>
    <x v="2"/>
    <x v="26"/>
    <x v="0"/>
    <d v="2025-02-17T00:00:00"/>
    <n v="7181"/>
  </r>
  <r>
    <m/>
    <s v="FACT E001-135"/>
    <x v="41"/>
    <x v="2"/>
    <x v="41"/>
    <n v="373"/>
    <n v="2998.38"/>
    <n v="0"/>
    <n v="2998.38"/>
    <s v="SOLES"/>
    <x v="1"/>
    <x v="35"/>
    <x v="0"/>
    <d v="2025-02-25T00:00:00"/>
    <n v="821.47397260273976"/>
  </r>
  <r>
    <m/>
    <s v="ENERO PERIODO"/>
    <x v="16"/>
    <x v="1"/>
    <x v="42"/>
    <n v="371"/>
    <n v="2430"/>
    <n v="0"/>
    <n v="2430"/>
    <s v="SOLES"/>
    <x v="1"/>
    <x v="1"/>
    <x v="0"/>
    <d v="2025-02-19T00:00:00"/>
    <n v="665.75342465753431"/>
  </r>
  <r>
    <m/>
    <s v="2749963 SUMINISTRO"/>
    <x v="9"/>
    <x v="2"/>
    <x v="43"/>
    <n v="370"/>
    <n v="9803.5"/>
    <n v="0"/>
    <n v="9803.5"/>
    <s v="SOLES"/>
    <x v="1"/>
    <x v="27"/>
    <x v="0"/>
    <d v="2025-02-20T00:00:00"/>
    <n v="2685.8904109589043"/>
  </r>
  <r>
    <m/>
    <s v="CLARO"/>
    <x v="42"/>
    <x v="3"/>
    <x v="43"/>
    <n v="370"/>
    <n v="335.45"/>
    <n v="0"/>
    <n v="335.45"/>
    <s v="SOLES"/>
    <x v="1"/>
    <x v="36"/>
    <x v="0"/>
    <d v="2025-02-21T00:00:00"/>
    <n v="91.904109589041099"/>
  </r>
  <r>
    <s v="ETA 21/02"/>
    <s v="GWI INVESTMENTS SA"/>
    <x v="4"/>
    <x v="3"/>
    <x v="43"/>
    <n v="370"/>
    <n v="18595.669999999998"/>
    <n v="0"/>
    <n v="18595.669999999998"/>
    <s v="SOLES"/>
    <x v="1"/>
    <x v="23"/>
    <x v="0"/>
    <d v="2025-02-20T00:00:00"/>
    <n v="5094.7041095890409"/>
  </r>
  <r>
    <s v="ETA 21/02"/>
    <s v="FAPRICELA"/>
    <x v="4"/>
    <x v="1"/>
    <x v="43"/>
    <n v="370"/>
    <n v="38667.46"/>
    <n v="0"/>
    <n v="38667.46"/>
    <s v="SOLES"/>
    <x v="1"/>
    <x v="23"/>
    <x v="0"/>
    <d v="2025-02-20T00:00:00"/>
    <n v="10593.824657534247"/>
  </r>
  <r>
    <m/>
    <s v="ENERO PERIODO"/>
    <x v="24"/>
    <x v="2"/>
    <x v="44"/>
    <n v="369"/>
    <n v="6845"/>
    <n v="0"/>
    <n v="6845"/>
    <s v="SOLES"/>
    <x v="1"/>
    <x v="1"/>
    <x v="0"/>
    <d v="2025-02-24T00:00:00"/>
    <n v="1875.3424657534247"/>
  </r>
  <r>
    <s v="ETA 27/01"/>
    <s v="FT 0062024/0954"/>
    <x v="25"/>
    <x v="2"/>
    <x v="45"/>
    <n v="366"/>
    <n v="67156.73"/>
    <n v="0"/>
    <n v="67156.73"/>
    <s v="DOLARES"/>
    <x v="1"/>
    <x v="14"/>
    <x v="0"/>
    <d v="2025-03-04T00:00:00"/>
    <n v="67156.73"/>
  </r>
  <r>
    <s v="CRED 113,099"/>
    <s v="CUOTA 18 DE 24"/>
    <x v="27"/>
    <x v="3"/>
    <x v="45"/>
    <n v="366"/>
    <n v="5387.89"/>
    <m/>
    <n v="5387.89"/>
    <s v="SOLES"/>
    <x v="2"/>
    <x v="15"/>
    <x v="0"/>
    <d v="2025-02-24T00:00:00"/>
    <n v="1476.1342465753426"/>
  </r>
  <r>
    <m/>
    <s v="CUOTA 9 DE 33"/>
    <x v="29"/>
    <x v="1"/>
    <x v="45"/>
    <n v="366"/>
    <n v="2573.63"/>
    <n v="0"/>
    <n v="2573.63"/>
    <s v="SOLES"/>
    <x v="2"/>
    <x v="15"/>
    <x v="0"/>
    <d v="2025-02-24T00:00:00"/>
    <n v="705.10410958904117"/>
  </r>
  <r>
    <m/>
    <s v="ENERO PERIODO"/>
    <x v="24"/>
    <x v="3"/>
    <x v="45"/>
    <n v="366"/>
    <n v="5248"/>
    <n v="0"/>
    <n v="5248"/>
    <s v="SOLES"/>
    <x v="1"/>
    <x v="1"/>
    <x v="0"/>
    <d v="2025-02-24T00:00:00"/>
    <n v="1437.8082191780823"/>
  </r>
  <r>
    <m/>
    <m/>
    <x v="31"/>
    <x v="0"/>
    <x v="46"/>
    <n v="365"/>
    <n v="80000"/>
    <n v="0"/>
    <n v="80000"/>
    <s v="SOLES"/>
    <x v="0"/>
    <x v="21"/>
    <x v="0"/>
    <d v="2025-03-04T00:00:00"/>
    <n v="21917.808219178081"/>
  </r>
  <r>
    <s v="693_1447_3"/>
    <s v="FACT F001-9368 / BCO"/>
    <x v="43"/>
    <x v="3"/>
    <x v="46"/>
    <n v="365"/>
    <n v="4916.8"/>
    <n v="147.50399999999999"/>
    <n v="4769.2960000000003"/>
    <s v="SOLES"/>
    <x v="1"/>
    <x v="37"/>
    <x v="0"/>
    <d v="2025-02-25T00:00:00"/>
    <n v="1306.6564383561645"/>
  </r>
  <r>
    <s v="694_0088_1"/>
    <s v="LT 2024-113"/>
    <x v="44"/>
    <x v="2"/>
    <x v="47"/>
    <n v="364"/>
    <n v="1767.91"/>
    <n v="0"/>
    <n v="1767.91"/>
    <s v="DOLARES"/>
    <x v="1"/>
    <x v="38"/>
    <x v="0"/>
    <d v="2025-02-26T00:00:00"/>
    <n v="1767.91"/>
  </r>
  <r>
    <s v="CHP-029"/>
    <s v="CUOTA 01 DE 04"/>
    <x v="45"/>
    <x v="3"/>
    <x v="17"/>
    <n v="362"/>
    <n v="374.65"/>
    <n v="0"/>
    <n v="374.65"/>
    <s v="SOLES"/>
    <x v="1"/>
    <x v="39"/>
    <x v="0"/>
    <d v="2025-02-28T00:00:00"/>
    <n v="102.64383561643835"/>
  </r>
  <r>
    <m/>
    <s v="FACT E001-10004"/>
    <x v="6"/>
    <x v="2"/>
    <x v="17"/>
    <n v="362"/>
    <n v="4840"/>
    <n v="0"/>
    <n v="4840"/>
    <s v="SOLES"/>
    <x v="1"/>
    <x v="7"/>
    <x v="0"/>
    <d v="2025-03-11T00:00:00"/>
    <n v="1326.027397260274"/>
  </r>
  <r>
    <s v="TASA 8.90%"/>
    <s v="CUOTA 57 DE 114"/>
    <x v="33"/>
    <x v="3"/>
    <x v="17"/>
    <n v="362"/>
    <n v="25141.19"/>
    <n v="0"/>
    <n v="25141.19"/>
    <s v="SOLES"/>
    <x v="1"/>
    <x v="15"/>
    <x v="0"/>
    <d v="2025-02-28T00:00:00"/>
    <n v="6887.9972602739726"/>
  </r>
  <r>
    <s v="TASA 15%"/>
    <s v="CUOTA 17 DE 24"/>
    <x v="36"/>
    <x v="1"/>
    <x v="17"/>
    <n v="362"/>
    <n v="6174.34"/>
    <n v="0"/>
    <n v="6174.34"/>
    <s v="SOLES"/>
    <x v="1"/>
    <x v="15"/>
    <x v="0"/>
    <d v="2025-02-28T00:00:00"/>
    <n v="1691.6000000000001"/>
  </r>
  <r>
    <m/>
    <m/>
    <x v="19"/>
    <x v="3"/>
    <x v="17"/>
    <n v="362"/>
    <n v="55000"/>
    <n v="1650"/>
    <n v="53350"/>
    <s v="SOLES"/>
    <x v="1"/>
    <x v="17"/>
    <x v="0"/>
    <d v="2025-03-01T00:00:00"/>
    <n v="14616.438356164384"/>
  </r>
  <r>
    <m/>
    <s v="ENERO PERIODO"/>
    <x v="24"/>
    <x v="1"/>
    <x v="17"/>
    <n v="362"/>
    <n v="1050"/>
    <n v="0"/>
    <n v="1050"/>
    <s v="SOLES"/>
    <x v="1"/>
    <x v="1"/>
    <x v="0"/>
    <d v="2025-02-28T00:00:00"/>
    <n v="287.67123287671234"/>
  </r>
  <r>
    <s v="TASA 15%"/>
    <s v="CUOTA 02 DE 24"/>
    <x v="35"/>
    <x v="1"/>
    <x v="17"/>
    <n v="362"/>
    <n v="9768.16"/>
    <n v="0"/>
    <n v="9768.16"/>
    <s v="SOLES"/>
    <x v="1"/>
    <x v="15"/>
    <x v="0"/>
    <d v="2025-02-28T00:00:00"/>
    <n v="2676.2082191780823"/>
  </r>
  <r>
    <s v="..0282501104"/>
    <s v="LT 000644"/>
    <x v="38"/>
    <x v="2"/>
    <x v="48"/>
    <n v="359"/>
    <n v="5719"/>
    <n v="0"/>
    <n v="5719"/>
    <s v="DOLARES"/>
    <x v="2"/>
    <x v="26"/>
    <x v="0"/>
    <d v="2025-03-03T00:00:00"/>
    <n v="5719"/>
  </r>
  <r>
    <s v="RIMAC BML739"/>
    <s v="CUOTA 01 DE 06"/>
    <x v="46"/>
    <x v="1"/>
    <x v="48"/>
    <n v="359"/>
    <n v="203"/>
    <n v="0"/>
    <n v="203"/>
    <s v="DOLARES"/>
    <x v="1"/>
    <x v="40"/>
    <x v="0"/>
    <d v="2025-03-04T00:00:00"/>
    <n v="203"/>
  </r>
  <r>
    <s v="ETA 16/03"/>
    <s v="FACT  YS241115-Y01"/>
    <x v="47"/>
    <x v="1"/>
    <x v="49"/>
    <n v="358"/>
    <n v="14705.28"/>
    <n v="0"/>
    <n v="14705.28"/>
    <s v="DOLARES"/>
    <x v="1"/>
    <x v="14"/>
    <x v="0"/>
    <d v="2025-03-05T00:00:00"/>
    <n v="14705.28"/>
  </r>
  <r>
    <m/>
    <s v="LT 1291-2024"/>
    <x v="14"/>
    <x v="2"/>
    <x v="50"/>
    <n v="357"/>
    <n v="2430"/>
    <n v="0"/>
    <n v="2430"/>
    <s v="SOLES"/>
    <x v="5"/>
    <x v="12"/>
    <x v="0"/>
    <d v="2025-03-15T00:00:00"/>
    <n v="665.75342465753431"/>
  </r>
  <r>
    <m/>
    <m/>
    <x v="48"/>
    <x v="3"/>
    <x v="50"/>
    <n v="357"/>
    <n v="90"/>
    <n v="0"/>
    <n v="90"/>
    <s v="SOLES"/>
    <x v="1"/>
    <x v="41"/>
    <x v="0"/>
    <d v="2025-03-05T00:00:00"/>
    <n v="24.657534246575342"/>
  </r>
  <r>
    <m/>
    <s v="LT 08806-11-00"/>
    <x v="23"/>
    <x v="3"/>
    <x v="51"/>
    <n v="356"/>
    <n v="5595.42"/>
    <n v="0"/>
    <n v="5595.42"/>
    <s v="DOLARES"/>
    <x v="5"/>
    <x v="19"/>
    <x v="0"/>
    <d v="2025-04-02T00:00:00"/>
    <n v="5595.42"/>
  </r>
  <r>
    <m/>
    <s v="6241625 SUMINISTRO"/>
    <x v="5"/>
    <x v="0"/>
    <x v="51"/>
    <n v="356"/>
    <n v="32.799999999999997"/>
    <n v="0"/>
    <n v="32.799999999999997"/>
    <s v="SOLES"/>
    <x v="1"/>
    <x v="6"/>
    <x v="0"/>
    <d v="2025-03-07T00:00:00"/>
    <n v="8.9863013698630123"/>
  </r>
  <r>
    <m/>
    <m/>
    <x v="5"/>
    <x v="2"/>
    <x v="51"/>
    <n v="356"/>
    <n v="62"/>
    <n v="0"/>
    <n v="62"/>
    <s v="SOLES"/>
    <x v="1"/>
    <x v="6"/>
    <x v="0"/>
    <d v="2025-03-06T00:00:00"/>
    <n v="16.986301369863014"/>
  </r>
  <r>
    <m/>
    <s v="FEBRERO PERIODO"/>
    <x v="7"/>
    <x v="3"/>
    <x v="52"/>
    <n v="355"/>
    <n v="1888"/>
    <n v="0"/>
    <n v="1888"/>
    <s v="SOLES"/>
    <x v="1"/>
    <x v="8"/>
    <x v="0"/>
    <d v="2025-03-07T00:00:00"/>
    <n v="517.2602739726027"/>
  </r>
  <r>
    <m/>
    <s v="FEBRERO PERIODO"/>
    <x v="7"/>
    <x v="2"/>
    <x v="52"/>
    <n v="355"/>
    <n v="3275"/>
    <n v="0"/>
    <n v="3275"/>
    <s v="SOLES"/>
    <x v="1"/>
    <x v="8"/>
    <x v="0"/>
    <d v="2025-03-07T00:00:00"/>
    <n v="897.26027397260282"/>
  </r>
  <r>
    <m/>
    <s v="FEBRERO PERIODO"/>
    <x v="8"/>
    <x v="2"/>
    <x v="52"/>
    <n v="355"/>
    <n v="2450"/>
    <n v="0"/>
    <n v="2450"/>
    <s v="SOLES"/>
    <x v="1"/>
    <x v="1"/>
    <x v="0"/>
    <d v="2025-03-07T00:00:00"/>
    <n v="671.23287671232879"/>
  </r>
  <r>
    <m/>
    <s v="FEBRERO PERIODO"/>
    <x v="8"/>
    <x v="3"/>
    <x v="52"/>
    <n v="355"/>
    <n v="1400"/>
    <n v="0"/>
    <n v="1400"/>
    <s v="SOLES"/>
    <x v="1"/>
    <x v="1"/>
    <x v="0"/>
    <d v="2025-03-07T00:00:00"/>
    <n v="383.56164383561645"/>
  </r>
  <r>
    <m/>
    <s v="FEBRERO PERIODO"/>
    <x v="8"/>
    <x v="1"/>
    <x v="52"/>
    <n v="355"/>
    <n v="630"/>
    <n v="0"/>
    <n v="630"/>
    <s v="SOLES"/>
    <x v="1"/>
    <x v="1"/>
    <x v="0"/>
    <d v="2025-03-07T00:00:00"/>
    <n v="172.60273972602741"/>
  </r>
  <r>
    <m/>
    <m/>
    <x v="10"/>
    <x v="3"/>
    <x v="53"/>
    <n v="354"/>
    <n v="17000"/>
    <n v="0"/>
    <n v="17000"/>
    <s v="SOLES"/>
    <x v="1"/>
    <x v="10"/>
    <x v="0"/>
    <d v="2025-03-11T00:00:00"/>
    <n v="4657.5342465753429"/>
  </r>
  <r>
    <m/>
    <s v="0883909 SUMNISTRO"/>
    <x v="9"/>
    <x v="3"/>
    <x v="53"/>
    <n v="354"/>
    <n v="2541"/>
    <n v="0"/>
    <n v="2541"/>
    <s v="SOLES"/>
    <x v="1"/>
    <x v="27"/>
    <x v="0"/>
    <d v="2025-03-11T00:00:00"/>
    <n v="696.16438356164383"/>
  </r>
  <r>
    <m/>
    <s v="1975640 SUMINISTRO"/>
    <x v="9"/>
    <x v="3"/>
    <x v="53"/>
    <n v="354"/>
    <n v="135.5"/>
    <n v="0"/>
    <n v="135.5"/>
    <s v="SOLES"/>
    <x v="1"/>
    <x v="27"/>
    <x v="0"/>
    <d v="2025-03-11T00:00:00"/>
    <n v="37.12328767123288"/>
  </r>
  <r>
    <m/>
    <s v="LUZ TERR NUEV SUMIN 0883907"/>
    <x v="9"/>
    <x v="0"/>
    <x v="53"/>
    <n v="354"/>
    <n v="105"/>
    <n v="0"/>
    <n v="105"/>
    <s v="SOLES"/>
    <x v="1"/>
    <x v="27"/>
    <x v="0"/>
    <d v="2025-03-11T00:00:00"/>
    <n v="28.767123287671232"/>
  </r>
  <r>
    <m/>
    <m/>
    <x v="10"/>
    <x v="2"/>
    <x v="53"/>
    <n v="354"/>
    <n v="17000"/>
    <n v="0"/>
    <n v="17000"/>
    <s v="SOLES"/>
    <x v="1"/>
    <x v="10"/>
    <x v="0"/>
    <d v="2025-03-11T00:00:00"/>
    <n v="4657.5342465753429"/>
  </r>
  <r>
    <s v="ETA 10/03"/>
    <s v="POLIOL 02 FLEXI / NORBRIGHT"/>
    <x v="4"/>
    <x v="3"/>
    <x v="53"/>
    <n v="354"/>
    <n v="40728.400000000001"/>
    <n v="0"/>
    <n v="40728.400000000001"/>
    <s v="SOLES"/>
    <x v="1"/>
    <x v="42"/>
    <x v="0"/>
    <d v="2025-03-07T00:00:00"/>
    <n v="11158.465753424658"/>
  </r>
  <r>
    <s v="695_7067_8"/>
    <s v="LT 8809-11-00"/>
    <x v="23"/>
    <x v="2"/>
    <x v="54"/>
    <n v="351"/>
    <n v="5765.2"/>
    <n v="0"/>
    <n v="5765.2"/>
    <s v="DOLARES"/>
    <x v="1"/>
    <x v="19"/>
    <x v="0"/>
    <d v="2025-03-11T00:00:00"/>
    <n v="5765.2"/>
  </r>
  <r>
    <n v="10020777"/>
    <s v="LT 7081"/>
    <x v="18"/>
    <x v="2"/>
    <x v="54"/>
    <n v="351"/>
    <n v="3731.75"/>
    <n v="0"/>
    <n v="3731.75"/>
    <s v="DOLARES"/>
    <x v="4"/>
    <x v="16"/>
    <x v="0"/>
    <d v="2025-03-11T00:00:00"/>
    <n v="3731.75"/>
  </r>
  <r>
    <s v="ETA 16/03"/>
    <s v="ALAMBRE 3.8MM / NANTONG"/>
    <x v="4"/>
    <x v="1"/>
    <x v="55"/>
    <n v="350"/>
    <n v="2770"/>
    <n v="0"/>
    <n v="2770"/>
    <s v="DOLARES"/>
    <x v="1"/>
    <x v="43"/>
    <x v="0"/>
    <d v="2025-03-14T00:00:00"/>
    <n v="2770"/>
  </r>
  <r>
    <s v="..0282501102"/>
    <s v="LT 653"/>
    <x v="38"/>
    <x v="2"/>
    <x v="55"/>
    <n v="350"/>
    <n v="3784"/>
    <n v="0"/>
    <n v="3784"/>
    <s v="DOLARES"/>
    <x v="2"/>
    <x v="26"/>
    <x v="0"/>
    <d v="2025-03-12T00:00:00"/>
    <n v="3784"/>
  </r>
  <r>
    <n v="3582401104"/>
    <s v="LT 4663"/>
    <x v="49"/>
    <x v="1"/>
    <x v="55"/>
    <n v="350"/>
    <n v="53477.59"/>
    <n v="0"/>
    <n v="53477.59"/>
    <s v="SOLES"/>
    <x v="2"/>
    <x v="13"/>
    <x v="0"/>
    <d v="2025-03-12T00:00:00"/>
    <n v="14651.394520547945"/>
  </r>
  <r>
    <s v="DES 90,000"/>
    <s v="CUOTA 12 DE 24"/>
    <x v="15"/>
    <x v="2"/>
    <x v="56"/>
    <n v="349"/>
    <n v="4280.91"/>
    <n v="0"/>
    <n v="4280.91"/>
    <s v="SOLES"/>
    <x v="1"/>
    <x v="15"/>
    <x v="0"/>
    <d v="2025-03-13T00:00:00"/>
    <n v="1172.8520547945204"/>
  </r>
  <r>
    <m/>
    <s v="FEBRERO PERIODO"/>
    <x v="20"/>
    <x v="0"/>
    <x v="57"/>
    <n v="348"/>
    <n v="2625"/>
    <n v="0"/>
    <n v="2625"/>
    <s v="SOLES"/>
    <x v="1"/>
    <x v="1"/>
    <x v="0"/>
    <d v="2025-03-21T00:00:00"/>
    <n v="719.17808219178085"/>
  </r>
  <r>
    <s v="695_2223_4"/>
    <s v="FACT F001-77907"/>
    <x v="11"/>
    <x v="3"/>
    <x v="58"/>
    <n v="347"/>
    <n v="3299.28"/>
    <n v="0"/>
    <n v="3299.28"/>
    <s v="DOLARES"/>
    <x v="1"/>
    <x v="11"/>
    <x v="0"/>
    <d v="2025-03-15T00:00:00"/>
    <n v="3299.28"/>
  </r>
  <r>
    <m/>
    <s v="FEBRERO PERIODO"/>
    <x v="16"/>
    <x v="2"/>
    <x v="58"/>
    <n v="347"/>
    <n v="3571"/>
    <n v="0"/>
    <n v="3571"/>
    <s v="SOLES"/>
    <x v="1"/>
    <x v="1"/>
    <x v="0"/>
    <d v="2025-03-17T00:00:00"/>
    <n v="978.35616438356169"/>
  </r>
  <r>
    <s v="TASA 15%"/>
    <s v="CUOTA 21 DE 24"/>
    <x v="17"/>
    <x v="1"/>
    <x v="58"/>
    <n v="347"/>
    <n v="9770.31"/>
    <n v="0"/>
    <n v="9770.31"/>
    <s v="SOLES"/>
    <x v="1"/>
    <x v="15"/>
    <x v="0"/>
    <d v="2025-03-15T00:00:00"/>
    <n v="2676.7972602739724"/>
  </r>
  <r>
    <m/>
    <m/>
    <x v="19"/>
    <x v="3"/>
    <x v="58"/>
    <n v="347"/>
    <n v="55000"/>
    <n v="1650"/>
    <n v="53350"/>
    <s v="SOLES"/>
    <x v="1"/>
    <x v="17"/>
    <x v="0"/>
    <d v="2025-03-15T00:00:00"/>
    <n v="14616.438356164384"/>
  </r>
  <r>
    <s v="ETA 16/03"/>
    <s v="ALAMBRE 3.8MM / NANTONG"/>
    <x v="4"/>
    <x v="1"/>
    <x v="58"/>
    <n v="347"/>
    <n v="19855.27"/>
    <n v="0"/>
    <n v="19855.27"/>
    <s v="SOLES"/>
    <x v="1"/>
    <x v="23"/>
    <x v="0"/>
    <d v="2025-03-17T00:00:00"/>
    <n v="5439.8"/>
  </r>
  <r>
    <m/>
    <s v="FEBRERO PERIODO"/>
    <x v="16"/>
    <x v="3"/>
    <x v="59"/>
    <n v="346"/>
    <n v="4310"/>
    <n v="0"/>
    <n v="4310"/>
    <s v="SOLES"/>
    <x v="1"/>
    <x v="1"/>
    <x v="0"/>
    <d v="2025-03-17T00:00:00"/>
    <n v="1180.8219178082193"/>
  </r>
  <r>
    <s v="ETA 21/02"/>
    <s v="INVOICE FT 62024/0998"/>
    <x v="25"/>
    <x v="1"/>
    <x v="60"/>
    <n v="345"/>
    <n v="45981.24"/>
    <n v="0"/>
    <n v="45981.24"/>
    <s v="DOLARES"/>
    <x v="1"/>
    <x v="14"/>
    <x v="0"/>
    <d v="2025-04-08T00:00:00"/>
    <n v="45981.24"/>
  </r>
  <r>
    <m/>
    <s v="6241635 SUMINISTRO"/>
    <x v="5"/>
    <x v="3"/>
    <x v="60"/>
    <n v="345"/>
    <n v="1894.4"/>
    <n v="0"/>
    <n v="1894.4"/>
    <s v="SOLES"/>
    <x v="1"/>
    <x v="6"/>
    <x v="0"/>
    <d v="2025-03-17T00:00:00"/>
    <n v="519.01369863013701"/>
  </r>
  <r>
    <m/>
    <s v="FEBRERO PERIODO"/>
    <x v="21"/>
    <x v="3"/>
    <x v="60"/>
    <n v="345"/>
    <n v="1359"/>
    <n v="0"/>
    <n v="1359"/>
    <s v="SOLES"/>
    <x v="1"/>
    <x v="1"/>
    <x v="0"/>
    <d v="2025-03-18T00:00:00"/>
    <n v="372.32876712328766"/>
  </r>
  <r>
    <s v="..0282501101"/>
    <s v="LT 000654"/>
    <x v="38"/>
    <x v="2"/>
    <x v="61"/>
    <n v="343"/>
    <n v="7181"/>
    <n v="0"/>
    <n v="7181"/>
    <s v="DOLARES"/>
    <x v="2"/>
    <x v="26"/>
    <x v="0"/>
    <d v="2025-03-19T00:00:00"/>
    <n v="7181"/>
  </r>
  <r>
    <m/>
    <s v="FEBRERO PERIODO"/>
    <x v="16"/>
    <x v="1"/>
    <x v="61"/>
    <n v="343"/>
    <n v="2465"/>
    <n v="0"/>
    <n v="2465"/>
    <s v="SOLES"/>
    <x v="1"/>
    <x v="1"/>
    <x v="0"/>
    <d v="2025-03-20T00:00:00"/>
    <n v="675.34246575342468"/>
  </r>
  <r>
    <s v="ETA 21/02"/>
    <s v="INVOICE FT0062024/0021"/>
    <x v="26"/>
    <x v="3"/>
    <x v="61"/>
    <n v="343"/>
    <n v="24581.7"/>
    <n v="0"/>
    <n v="24581.7"/>
    <s v="DOLARES"/>
    <x v="1"/>
    <x v="14"/>
    <x v="0"/>
    <d v="2025-04-03T00:00:00"/>
    <n v="24581.7"/>
  </r>
  <r>
    <n v="2024"/>
    <s v="NOVIEMBRE PERIODO"/>
    <x v="24"/>
    <x v="1"/>
    <x v="62"/>
    <n v="342"/>
    <n v="19093"/>
    <n v="0"/>
    <n v="19093"/>
    <s v="SOLES"/>
    <x v="1"/>
    <x v="1"/>
    <x v="0"/>
    <d v="2025-03-24T00:00:00"/>
    <n v="5230.9589041095887"/>
  </r>
  <r>
    <m/>
    <s v="2749963 SUMINISTRO"/>
    <x v="9"/>
    <x v="2"/>
    <x v="62"/>
    <n v="342"/>
    <n v="9788.5"/>
    <n v="0"/>
    <n v="9788.5"/>
    <s v="SOLES"/>
    <x v="1"/>
    <x v="27"/>
    <x v="0"/>
    <d v="2025-03-20T00:00:00"/>
    <n v="2681.7808219178082"/>
  </r>
  <r>
    <s v="693_7309_4"/>
    <s v="LT 108."/>
    <x v="2"/>
    <x v="2"/>
    <x v="63"/>
    <n v="341"/>
    <n v="3668.62"/>
    <n v="0"/>
    <n v="3668.62"/>
    <s v="SOLES"/>
    <x v="1"/>
    <x v="5"/>
    <x v="0"/>
    <d v="2025-03-22T00:00:00"/>
    <n v="1005.1013698630137"/>
  </r>
  <r>
    <m/>
    <s v="FACT E001-595"/>
    <x v="32"/>
    <x v="2"/>
    <x v="63"/>
    <n v="341"/>
    <n v="2715.7"/>
    <n v="0"/>
    <n v="2715.7"/>
    <s v="SOLES"/>
    <x v="1"/>
    <x v="19"/>
    <x v="0"/>
    <d v="2025-04-02T00:00:00"/>
    <n v="744.02739726027391"/>
  </r>
  <r>
    <s v="TASA 8.60%"/>
    <s v="IMPT 120K"/>
    <x v="28"/>
    <x v="3"/>
    <x v="63"/>
    <n v="341"/>
    <n v="123317.58"/>
    <n v="0"/>
    <n v="123317.58"/>
    <s v="DOLARES"/>
    <x v="1"/>
    <x v="15"/>
    <x v="0"/>
    <d v="2025-03-24T00:00:00"/>
    <n v="123317.58"/>
  </r>
  <r>
    <m/>
    <s v="FACT E001-96"/>
    <x v="50"/>
    <x v="2"/>
    <x v="64"/>
    <n v="340"/>
    <n v="7340"/>
    <n v="0"/>
    <n v="7340"/>
    <s v="SOLES"/>
    <x v="1"/>
    <x v="19"/>
    <x v="0"/>
    <d v="2025-04-02T00:00:00"/>
    <n v="2010.9589041095892"/>
  </r>
  <r>
    <s v="696_8975_8"/>
    <s v="LT 0425"/>
    <x v="22"/>
    <x v="2"/>
    <x v="65"/>
    <n v="339"/>
    <n v="1026.5999999999999"/>
    <n v="0"/>
    <n v="1026.5999999999999"/>
    <s v="DOLARES"/>
    <x v="1"/>
    <x v="18"/>
    <x v="0"/>
    <d v="2025-03-22T00:00:00"/>
    <n v="1026.5999999999999"/>
  </r>
  <r>
    <m/>
    <s v="FACT E001-597"/>
    <x v="32"/>
    <x v="2"/>
    <x v="66"/>
    <n v="338"/>
    <n v="5675.59"/>
    <n v="0"/>
    <n v="5675.59"/>
    <s v="SOLES"/>
    <x v="1"/>
    <x v="19"/>
    <x v="0"/>
    <d v="2025-04-05T00:00:00"/>
    <n v="1554.9561643835618"/>
  </r>
  <r>
    <s v="CRED 113,099"/>
    <s v="CUOTA 19 DE 24"/>
    <x v="27"/>
    <x v="3"/>
    <x v="66"/>
    <n v="338"/>
    <n v="5387.89"/>
    <m/>
    <n v="5387.89"/>
    <s v="SOLES"/>
    <x v="2"/>
    <x v="15"/>
    <x v="0"/>
    <d v="2025-03-25T00:00:00"/>
    <n v="1476.1342465753426"/>
  </r>
  <r>
    <m/>
    <s v="CUOTA 10 DE 33"/>
    <x v="29"/>
    <x v="1"/>
    <x v="66"/>
    <n v="338"/>
    <n v="11778.38"/>
    <n v="0"/>
    <n v="11778.38"/>
    <s v="SOLES"/>
    <x v="2"/>
    <x v="15"/>
    <x v="0"/>
    <d v="2025-03-24T00:00:00"/>
    <n v="3226.953424657534"/>
  </r>
  <r>
    <m/>
    <m/>
    <x v="31"/>
    <x v="0"/>
    <x v="67"/>
    <n v="337"/>
    <n v="25700"/>
    <n v="0"/>
    <n v="25700"/>
    <s v="SOLES"/>
    <x v="0"/>
    <x v="21"/>
    <x v="0"/>
    <d v="2025-04-05T00:00:00"/>
    <n v="7041.0958904109593"/>
  </r>
  <r>
    <m/>
    <s v="FEBRERO PERIODO"/>
    <x v="24"/>
    <x v="2"/>
    <x v="67"/>
    <n v="337"/>
    <n v="4990"/>
    <n v="0"/>
    <n v="4990"/>
    <s v="SOLES"/>
    <x v="1"/>
    <x v="1"/>
    <x v="0"/>
    <d v="2025-03-25T00:00:00"/>
    <n v="1367.1232876712329"/>
  </r>
  <r>
    <m/>
    <s v="FEBRERO PERIODO"/>
    <x v="24"/>
    <x v="3"/>
    <x v="67"/>
    <n v="337"/>
    <n v="5950"/>
    <n v="0"/>
    <n v="5950"/>
    <s v="SOLES"/>
    <x v="1"/>
    <x v="1"/>
    <x v="0"/>
    <d v="2025-03-25T00:00:00"/>
    <n v="1630.1369863013699"/>
  </r>
  <r>
    <s v="..0282501103"/>
    <s v="LT 655"/>
    <x v="38"/>
    <x v="2"/>
    <x v="68"/>
    <n v="336"/>
    <n v="7181"/>
    <n v="0"/>
    <n v="7181"/>
    <s v="DOLARES"/>
    <x v="2"/>
    <x v="26"/>
    <x v="0"/>
    <d v="2025-03-27T00:00:00"/>
    <n v="7181"/>
  </r>
  <r>
    <n v="10020778"/>
    <s v="LT 7092"/>
    <x v="18"/>
    <x v="2"/>
    <x v="69"/>
    <n v="335"/>
    <n v="4312.8999999999996"/>
    <n v="0"/>
    <n v="4312.8999999999996"/>
    <s v="DOLARES"/>
    <x v="4"/>
    <x v="16"/>
    <x v="0"/>
    <d v="2025-03-27T00:00:00"/>
    <n v="4312.8999999999996"/>
  </r>
  <r>
    <s v="..0282501100"/>
    <s v="LT 656"/>
    <x v="38"/>
    <x v="2"/>
    <x v="70"/>
    <n v="334"/>
    <n v="5031"/>
    <n v="0"/>
    <n v="5031"/>
    <s v="DOLARES"/>
    <x v="2"/>
    <x v="26"/>
    <x v="0"/>
    <d v="2025-03-28T00:00:00"/>
    <n v="5031"/>
  </r>
  <r>
    <m/>
    <s v="FACT F001-10277"/>
    <x v="6"/>
    <x v="2"/>
    <x v="70"/>
    <n v="334"/>
    <n v="3200"/>
    <n v="0"/>
    <n v="3200"/>
    <s v="SOLES"/>
    <x v="1"/>
    <x v="7"/>
    <x v="0"/>
    <d v="2025-04-05T00:00:00"/>
    <n v="876.71232876712327"/>
  </r>
  <r>
    <m/>
    <s v="FEBRERO PERIODO"/>
    <x v="24"/>
    <x v="1"/>
    <x v="70"/>
    <n v="334"/>
    <n v="4176"/>
    <n v="0"/>
    <n v="4176"/>
    <s v="SOLES"/>
    <x v="1"/>
    <x v="1"/>
    <x v="0"/>
    <d v="2025-03-31T00:00:00"/>
    <n v="1144.1095890410959"/>
  </r>
  <r>
    <s v="TASA 9.00%"/>
    <s v="IMPT 40K"/>
    <x v="28"/>
    <x v="3"/>
    <x v="70"/>
    <n v="334"/>
    <n v="41155.85"/>
    <n v="0"/>
    <n v="41155.85"/>
    <s v="DOLARES"/>
    <x v="1"/>
    <x v="15"/>
    <x v="0"/>
    <d v="2025-03-31T00:00:00"/>
    <n v="41155.85"/>
  </r>
  <r>
    <s v="TASA 8.90%"/>
    <s v="CUOTA 58 DE 114"/>
    <x v="33"/>
    <x v="3"/>
    <x v="70"/>
    <n v="334"/>
    <n v="24273.59"/>
    <m/>
    <n v="24273.59"/>
    <s v="SOLES"/>
    <x v="1"/>
    <x v="15"/>
    <x v="0"/>
    <d v="2025-03-28T00:00:00"/>
    <n v="6650.2986301369865"/>
  </r>
  <r>
    <m/>
    <s v="FACT E001-1319"/>
    <x v="40"/>
    <x v="2"/>
    <x v="71"/>
    <n v="333"/>
    <n v="6649.3"/>
    <n v="0"/>
    <n v="6649.3"/>
    <s v="SOLES"/>
    <x v="1"/>
    <x v="33"/>
    <x v="0"/>
    <d v="2025-04-11T00:00:00"/>
    <n v="1821.7260273972604"/>
  </r>
  <r>
    <s v="TASA 15%"/>
    <s v="CUOTA 18 DE 24"/>
    <x v="36"/>
    <x v="1"/>
    <x v="72"/>
    <n v="332"/>
    <n v="6174.34"/>
    <n v="0"/>
    <n v="6174.34"/>
    <s v="SOLES"/>
    <x v="1"/>
    <x v="15"/>
    <x v="0"/>
    <d v="2025-03-31T00:00:00"/>
    <n v="1691.6000000000001"/>
  </r>
  <r>
    <m/>
    <m/>
    <x v="19"/>
    <x v="3"/>
    <x v="72"/>
    <n v="332"/>
    <n v="55000"/>
    <n v="1650"/>
    <n v="53350"/>
    <s v="SOLES"/>
    <x v="1"/>
    <x v="17"/>
    <x v="0"/>
    <d v="2025-04-01T00:00:00"/>
    <n v="14616.438356164384"/>
  </r>
  <r>
    <s v=",0282501365"/>
    <s v="LT 5252"/>
    <x v="13"/>
    <x v="1"/>
    <x v="72"/>
    <n v="332"/>
    <n v="21322.799999999999"/>
    <n v="0"/>
    <n v="21322.799999999999"/>
    <s v="SOLES"/>
    <x v="2"/>
    <x v="13"/>
    <x v="0"/>
    <d v="2025-03-31T00:00:00"/>
    <n v="5841.8630136986303"/>
  </r>
  <r>
    <s v="TASA 15%"/>
    <s v="CUOTA 03 DE 24"/>
    <x v="35"/>
    <x v="1"/>
    <x v="72"/>
    <n v="332"/>
    <n v="9768.16"/>
    <n v="0"/>
    <n v="9768.16"/>
    <s v="SOLES"/>
    <x v="1"/>
    <x v="15"/>
    <x v="0"/>
    <d v="2025-03-31T00:00:00"/>
    <n v="2676.2082191780823"/>
  </r>
  <r>
    <n v="10020779"/>
    <s v="LT 7094"/>
    <x v="18"/>
    <x v="2"/>
    <x v="73"/>
    <n v="331"/>
    <n v="8425.2000000000007"/>
    <n v="0"/>
    <n v="8425.2000000000007"/>
    <s v="DOLARES"/>
    <x v="4"/>
    <x v="28"/>
    <x v="0"/>
    <d v="2025-03-31T00:00:00"/>
    <n v="8425.2000000000007"/>
  </r>
  <r>
    <m/>
    <s v="LT 03-25"/>
    <x v="0"/>
    <x v="0"/>
    <x v="73"/>
    <n v="331"/>
    <n v="5000"/>
    <n v="0"/>
    <n v="5000"/>
    <s v="DOLARES"/>
    <x v="0"/>
    <x v="0"/>
    <x v="1"/>
    <m/>
    <n v="5000"/>
  </r>
  <r>
    <s v="ETA 02/02"/>
    <s v="XJISD24001"/>
    <x v="51"/>
    <x v="2"/>
    <x v="74"/>
    <n v="329"/>
    <n v="28313.5"/>
    <n v="0"/>
    <n v="28313.5"/>
    <s v="DOLARES"/>
    <x v="1"/>
    <x v="44"/>
    <x v="0"/>
    <d v="2025-04-11T00:00:00"/>
    <n v="28313.5"/>
  </r>
  <r>
    <s v="RIMAC BML739"/>
    <s v="CUOTA 02 DE 06"/>
    <x v="46"/>
    <x v="1"/>
    <x v="75"/>
    <n v="330"/>
    <n v="203"/>
    <n v="0"/>
    <n v="203"/>
    <s v="DOLARES"/>
    <x v="1"/>
    <x v="40"/>
    <x v="0"/>
    <d v="2025-04-01T00:00:00"/>
    <n v="203"/>
  </r>
  <r>
    <m/>
    <s v="FACT F002-163199"/>
    <x v="52"/>
    <x v="3"/>
    <x v="74"/>
    <n v="329"/>
    <n v="126.26"/>
    <n v="0"/>
    <n v="126.26"/>
    <s v="SOLES"/>
    <x v="2"/>
    <x v="45"/>
    <x v="0"/>
    <d v="2025-04-02T00:00:00"/>
    <n v="34.591780821917808"/>
  </r>
  <r>
    <m/>
    <s v="FACT F001-176"/>
    <x v="39"/>
    <x v="2"/>
    <x v="76"/>
    <n v="328"/>
    <n v="1416"/>
    <n v="0"/>
    <n v="1416"/>
    <s v="DOLARES"/>
    <x v="1"/>
    <x v="31"/>
    <x v="0"/>
    <d v="2025-04-15T00:00:00"/>
    <n v="1416"/>
  </r>
  <r>
    <m/>
    <m/>
    <x v="48"/>
    <x v="3"/>
    <x v="77"/>
    <n v="326"/>
    <n v="90"/>
    <n v="0"/>
    <n v="90"/>
    <s v="SOLES"/>
    <x v="1"/>
    <x v="41"/>
    <x v="0"/>
    <d v="2025-04-05T00:00:00"/>
    <n v="24.657534246575342"/>
  </r>
  <r>
    <m/>
    <s v="6241630 SUMINISTRO"/>
    <x v="5"/>
    <x v="2"/>
    <x v="77"/>
    <n v="326"/>
    <n v="62.1"/>
    <n v="0"/>
    <n v="62.1"/>
    <s v="SOLES"/>
    <x v="1"/>
    <x v="6"/>
    <x v="0"/>
    <d v="2025-04-05T00:00:00"/>
    <n v="17.013698630136986"/>
  </r>
  <r>
    <m/>
    <s v="6241635 SUMINISTRO"/>
    <x v="5"/>
    <x v="3"/>
    <x v="77"/>
    <n v="326"/>
    <n v="2864.2"/>
    <n v="0"/>
    <n v="2864.2"/>
    <s v="SOLES"/>
    <x v="1"/>
    <x v="6"/>
    <x v="0"/>
    <d v="2025-04-05T00:00:00"/>
    <n v="784.71232876712327"/>
  </r>
  <r>
    <m/>
    <n v="1.21682786"/>
    <x v="53"/>
    <x v="3"/>
    <x v="77"/>
    <n v="326"/>
    <n v="119.74"/>
    <n v="0"/>
    <n v="119.74"/>
    <s v="SOLES"/>
    <x v="1"/>
    <x v="46"/>
    <x v="0"/>
    <d v="2025-04-05T00:00:00"/>
    <n v="32.805479452054797"/>
  </r>
  <r>
    <m/>
    <s v="0883909 SUMNISTRO"/>
    <x v="9"/>
    <x v="3"/>
    <x v="77"/>
    <n v="326"/>
    <n v="2220.5"/>
    <n v="0"/>
    <n v="2220.5"/>
    <s v="SOLES"/>
    <x v="1"/>
    <x v="27"/>
    <x v="0"/>
    <d v="2025-04-05T00:00:00"/>
    <n v="608.35616438356169"/>
  </r>
  <r>
    <m/>
    <s v="1975640 SUMINISTRO"/>
    <x v="9"/>
    <x v="3"/>
    <x v="77"/>
    <n v="326"/>
    <n v="151"/>
    <n v="0"/>
    <n v="151"/>
    <s v="SOLES"/>
    <x v="1"/>
    <x v="27"/>
    <x v="0"/>
    <d v="2025-04-05T00:00:00"/>
    <n v="41.369863013698634"/>
  </r>
  <r>
    <s v="693_7309_5"/>
    <s v="LT 109"/>
    <x v="2"/>
    <x v="2"/>
    <x v="78"/>
    <n v="325"/>
    <n v="4984.32"/>
    <n v="0"/>
    <n v="4984.32"/>
    <s v="SOLES"/>
    <x v="1"/>
    <x v="5"/>
    <x v="0"/>
    <d v="2025-04-05T00:00:00"/>
    <n v="1365.5671232876712"/>
  </r>
  <r>
    <m/>
    <s v="MARZO PERIODO"/>
    <x v="7"/>
    <x v="3"/>
    <x v="79"/>
    <n v="324"/>
    <n v="1843"/>
    <n v="0"/>
    <n v="1843"/>
    <s v="SOLES"/>
    <x v="1"/>
    <x v="8"/>
    <x v="0"/>
    <d v="2025-04-07T00:00:00"/>
    <n v="504.9315068493151"/>
  </r>
  <r>
    <m/>
    <s v="MARZO PERIODO"/>
    <x v="7"/>
    <x v="2"/>
    <x v="79"/>
    <n v="324"/>
    <n v="2382"/>
    <n v="0"/>
    <n v="2382"/>
    <s v="SOLES"/>
    <x v="1"/>
    <x v="8"/>
    <x v="0"/>
    <d v="2025-04-07T00:00:00"/>
    <n v="652.60273972602738"/>
  </r>
  <r>
    <m/>
    <s v="MARZO PERIODO"/>
    <x v="7"/>
    <x v="1"/>
    <x v="79"/>
    <n v="324"/>
    <n v="120"/>
    <n v="0"/>
    <n v="120"/>
    <s v="SOLES"/>
    <x v="1"/>
    <x v="8"/>
    <x v="0"/>
    <d v="2025-04-04T00:00:00"/>
    <n v="32.876712328767127"/>
  </r>
  <r>
    <m/>
    <s v="MARZO PERIODO"/>
    <x v="8"/>
    <x v="2"/>
    <x v="79"/>
    <n v="324"/>
    <n v="2550"/>
    <n v="0"/>
    <n v="2550"/>
    <s v="SOLES"/>
    <x v="1"/>
    <x v="29"/>
    <x v="0"/>
    <d v="2025-04-07T00:00:00"/>
    <n v="698.63013698630141"/>
  </r>
  <r>
    <m/>
    <s v="MARZO PERIODO"/>
    <x v="8"/>
    <x v="3"/>
    <x v="79"/>
    <n v="324"/>
    <n v="1295"/>
    <n v="0"/>
    <n v="1295"/>
    <s v="SOLES"/>
    <x v="1"/>
    <x v="29"/>
    <x v="0"/>
    <d v="2025-04-07T00:00:00"/>
    <n v="354.79452054794524"/>
  </r>
  <r>
    <m/>
    <s v="MARZO PERIODO"/>
    <x v="8"/>
    <x v="1"/>
    <x v="79"/>
    <n v="324"/>
    <n v="650"/>
    <n v="0"/>
    <n v="650"/>
    <s v="SOLES"/>
    <x v="1"/>
    <x v="29"/>
    <x v="0"/>
    <d v="2025-04-07T00:00:00"/>
    <n v="178.08219178082192"/>
  </r>
  <r>
    <m/>
    <s v="LT 04-25"/>
    <x v="0"/>
    <x v="0"/>
    <x v="80"/>
    <n v="301"/>
    <n v="5000"/>
    <n v="0"/>
    <n v="5000"/>
    <s v="DOLARES"/>
    <x v="0"/>
    <x v="0"/>
    <x v="1"/>
    <m/>
    <n v="5000"/>
  </r>
  <r>
    <m/>
    <m/>
    <x v="10"/>
    <x v="3"/>
    <x v="81"/>
    <n v="323"/>
    <n v="17000"/>
    <n v="0"/>
    <n v="17000"/>
    <s v="SOLES"/>
    <x v="1"/>
    <x v="10"/>
    <x v="0"/>
    <d v="2025-04-11T00:00:00"/>
    <n v="4657.5342465753429"/>
  </r>
  <r>
    <m/>
    <m/>
    <x v="10"/>
    <x v="2"/>
    <x v="81"/>
    <n v="323"/>
    <n v="17000"/>
    <n v="0"/>
    <n v="17000"/>
    <s v="SOLES"/>
    <x v="1"/>
    <x v="10"/>
    <x v="0"/>
    <d v="2025-04-11T00:00:00"/>
    <n v="4657.5342465753429"/>
  </r>
  <r>
    <m/>
    <s v="FACT E001-101"/>
    <x v="50"/>
    <x v="2"/>
    <x v="82"/>
    <n v="320"/>
    <n v="6410"/>
    <n v="0"/>
    <n v="6410"/>
    <s v="SOLES"/>
    <x v="1"/>
    <x v="47"/>
    <x v="0"/>
    <d v="2025-04-21T00:00:00"/>
    <n v="1756.1643835616439"/>
  </r>
  <r>
    <m/>
    <s v="MARZO PERIODO"/>
    <x v="16"/>
    <x v="2"/>
    <x v="83"/>
    <n v="319"/>
    <n v="3568"/>
    <n v="0"/>
    <n v="3568"/>
    <s v="SOLES"/>
    <x v="1"/>
    <x v="1"/>
    <x v="0"/>
    <d v="2025-04-14T00:00:00"/>
    <n v="977.53424657534254"/>
  </r>
  <r>
    <s v="TERR NUEVO"/>
    <s v="6241625 SUMINISTRO"/>
    <x v="5"/>
    <x v="0"/>
    <x v="83"/>
    <n v="319"/>
    <n v="7.5"/>
    <n v="0"/>
    <n v="7.5"/>
    <s v="SOLES"/>
    <x v="1"/>
    <x v="6"/>
    <x v="0"/>
    <d v="2025-04-10T00:00:00"/>
    <n v="2.0547945205479454"/>
  </r>
  <r>
    <s v="_x000a_695_7008_4"/>
    <s v="LT 74323-0"/>
    <x v="43"/>
    <x v="3"/>
    <x v="83"/>
    <n v="319"/>
    <n v="13902.42"/>
    <n v="417.07259999999997"/>
    <n v="13485.347400000001"/>
    <s v="SOLES"/>
    <x v="1"/>
    <x v="48"/>
    <x v="0"/>
    <d v="2025-04-12T00:00:00"/>
    <n v="3694.6157260273976"/>
  </r>
  <r>
    <s v="699_2632_5"/>
    <s v="LT 08882-11-00"/>
    <x v="23"/>
    <x v="3"/>
    <x v="83"/>
    <n v="319"/>
    <n v="5657.2"/>
    <n v="0"/>
    <n v="5657.2"/>
    <s v="DOLARES"/>
    <x v="1"/>
    <x v="19"/>
    <x v="0"/>
    <d v="2025-04-12T00:00:00"/>
    <n v="5657.2"/>
  </r>
  <r>
    <m/>
    <s v="FACT E001-139"/>
    <x v="41"/>
    <x v="2"/>
    <x v="83"/>
    <n v="319"/>
    <n v="2998.38"/>
    <n v="0"/>
    <n v="2998.38"/>
    <s v="SOLES"/>
    <x v="1"/>
    <x v="35"/>
    <x v="0"/>
    <d v="2025-04-21T00:00:00"/>
    <n v="821.47397260273976"/>
  </r>
  <r>
    <m/>
    <s v="FACT F002-164264"/>
    <x v="52"/>
    <x v="3"/>
    <x v="84"/>
    <n v="318"/>
    <n v="519.91"/>
    <n v="0"/>
    <n v="519.91"/>
    <s v="SOLES"/>
    <x v="1"/>
    <x v="45"/>
    <x v="0"/>
    <d v="2025-04-15T00:00:00"/>
    <n v="142.44109589041096"/>
  </r>
  <r>
    <s v="DES 90,000"/>
    <s v="CUOTA 13 DE 24"/>
    <x v="15"/>
    <x v="2"/>
    <x v="84"/>
    <n v="318"/>
    <n v="4280.91"/>
    <n v="0"/>
    <n v="4280.91"/>
    <s v="SOLES"/>
    <x v="1"/>
    <x v="15"/>
    <x v="0"/>
    <d v="2025-04-14T00:00:00"/>
    <n v="1172.8520547945204"/>
  </r>
  <r>
    <s v="699_2632_6"/>
    <s v="LT 08881-11-00"/>
    <x v="23"/>
    <x v="3"/>
    <x v="85"/>
    <n v="317"/>
    <n v="1888.23"/>
    <n v="0"/>
    <n v="1888.23"/>
    <s v="DOLARES"/>
    <x v="1"/>
    <x v="19"/>
    <x v="0"/>
    <d v="2025-04-14T00:00:00"/>
    <n v="1888.23"/>
  </r>
  <r>
    <m/>
    <s v="MARZO PERIODO"/>
    <x v="16"/>
    <x v="3"/>
    <x v="85"/>
    <n v="317"/>
    <n v="3750"/>
    <n v="0"/>
    <n v="3750"/>
    <s v="DOLARES"/>
    <x v="1"/>
    <x v="1"/>
    <x v="0"/>
    <d v="2025-04-14T00:00:00"/>
    <n v="3750"/>
  </r>
  <r>
    <m/>
    <s v="MARZO PERIODO"/>
    <x v="20"/>
    <x v="0"/>
    <x v="85"/>
    <n v="317"/>
    <n v="2625"/>
    <n v="0"/>
    <n v="2625"/>
    <s v="SOLES"/>
    <x v="1"/>
    <x v="1"/>
    <x v="0"/>
    <d v="2025-04-23T00:00:00"/>
    <n v="719.17808219178085"/>
  </r>
  <r>
    <s v="TASA 7.2%"/>
    <s v="CUOTA 4 DE 180"/>
    <x v="54"/>
    <x v="0"/>
    <x v="85"/>
    <n v="317"/>
    <n v="30099.17"/>
    <n v="0"/>
    <n v="30099.17"/>
    <s v="SOLES"/>
    <x v="2"/>
    <x v="15"/>
    <x v="0"/>
    <d v="2025-04-14T00:00:00"/>
    <n v="8246.3479452054798"/>
  </r>
  <r>
    <s v="698_2436_1"/>
    <s v="LT 08901-11-00"/>
    <x v="23"/>
    <x v="2"/>
    <x v="86"/>
    <n v="316"/>
    <n v="5701.34"/>
    <n v="0"/>
    <n v="5701.34"/>
    <s v="DOLARES"/>
    <x v="1"/>
    <x v="19"/>
    <x v="0"/>
    <d v="2025-04-15T00:00:00"/>
    <n v="5701.34"/>
  </r>
  <r>
    <s v="_x000a_694_3567_3"/>
    <s v="LT 110"/>
    <x v="2"/>
    <x v="2"/>
    <x v="86"/>
    <n v="316"/>
    <n v="3764.2"/>
    <n v="0"/>
    <n v="3764.2"/>
    <s v="SOLES"/>
    <x v="1"/>
    <x v="5"/>
    <x v="0"/>
    <d v="2025-04-15T00:00:00"/>
    <n v="1031.2876712328766"/>
  </r>
  <r>
    <s v="TASA 15%"/>
    <s v="CUOTA 22 DE 24"/>
    <x v="17"/>
    <x v="1"/>
    <x v="86"/>
    <n v="316"/>
    <n v="9770.31"/>
    <n v="0"/>
    <n v="9770.31"/>
    <s v="SOLES"/>
    <x v="1"/>
    <x v="15"/>
    <x v="0"/>
    <d v="2025-04-15T00:00:00"/>
    <n v="2676.7972602739724"/>
  </r>
  <r>
    <m/>
    <m/>
    <x v="19"/>
    <x v="3"/>
    <x v="86"/>
    <n v="316"/>
    <n v="55000"/>
    <n v="1650"/>
    <n v="53350"/>
    <s v="SOLES"/>
    <x v="1"/>
    <x v="17"/>
    <x v="0"/>
    <d v="2025-04-15T00:00:00"/>
    <n v="14616.438356164384"/>
  </r>
  <r>
    <s v="ETA 17/4"/>
    <s v="RC FIL NON-TEX   /  FACT 602"/>
    <x v="4"/>
    <x v="3"/>
    <x v="86"/>
    <n v="316"/>
    <n v="2545"/>
    <n v="0"/>
    <n v="2545"/>
    <s v="DOLARES"/>
    <x v="1"/>
    <x v="43"/>
    <x v="0"/>
    <d v="2025-04-16T00:00:00"/>
    <n v="2545"/>
  </r>
  <r>
    <s v="ETA 17/4"/>
    <s v="RC FIL NON-TEX   /  FACT 602"/>
    <x v="4"/>
    <x v="3"/>
    <x v="87"/>
    <n v="315"/>
    <n v="17017.34"/>
    <n v="0"/>
    <n v="17017.34"/>
    <s v="SOLES"/>
    <x v="1"/>
    <x v="49"/>
    <x v="0"/>
    <d v="2025-04-16T00:00:00"/>
    <n v="4662.2849315068497"/>
  </r>
  <r>
    <s v="ETA 17/4"/>
    <s v="STAR GRACE / FACT SGC-13113-01"/>
    <x v="4"/>
    <x v="3"/>
    <x v="87"/>
    <n v="315"/>
    <n v="62320"/>
    <n v="0"/>
    <n v="7889"/>
    <s v="SOLES"/>
    <x v="1"/>
    <x v="50"/>
    <x v="0"/>
    <d v="2025-04-16T00:00:00"/>
    <n v="2161.3698630136987"/>
  </r>
  <r>
    <s v="694_9421_5"/>
    <s v="LETRA 2025-006"/>
    <x v="44"/>
    <x v="2"/>
    <x v="87"/>
    <n v="315"/>
    <n v="1469.6"/>
    <n v="0"/>
    <n v="1469.6"/>
    <s v="DOLARES"/>
    <x v="1"/>
    <x v="38"/>
    <x v="0"/>
    <d v="2025-04-16T00:00:00"/>
    <n v="1469.6"/>
  </r>
  <r>
    <m/>
    <s v="MARZO PERIODO"/>
    <x v="21"/>
    <x v="3"/>
    <x v="87"/>
    <n v="315"/>
    <n v="3050"/>
    <n v="0"/>
    <n v="3050"/>
    <s v="SOLES"/>
    <x v="1"/>
    <x v="1"/>
    <x v="0"/>
    <d v="2025-04-16T00:00:00"/>
    <n v="835.61643835616439"/>
  </r>
  <r>
    <m/>
    <m/>
    <x v="55"/>
    <x v="3"/>
    <x v="87"/>
    <n v="315"/>
    <n v="4000"/>
    <n v="0"/>
    <n v="4000"/>
    <s v="SOLES"/>
    <x v="1"/>
    <x v="1"/>
    <x v="0"/>
    <d v="2025-04-16T00:00:00"/>
    <n v="1095.8904109589041"/>
  </r>
  <r>
    <s v="..0282501075"/>
    <s v="LT 4887"/>
    <x v="49"/>
    <x v="3"/>
    <x v="88"/>
    <n v="314"/>
    <n v="8425.2000000000007"/>
    <n v="252.756"/>
    <n v="8172.4440000000004"/>
    <s v="DOLARES"/>
    <x v="2"/>
    <x v="28"/>
    <x v="0"/>
    <d v="2025-04-16T00:00:00"/>
    <n v="8172.4440000000004"/>
  </r>
  <r>
    <s v="ETA 18/4"/>
    <s v="EVERLITE FACT - ELK-250219-1K"/>
    <x v="4"/>
    <x v="3"/>
    <x v="88"/>
    <n v="314"/>
    <n v="62320"/>
    <n v="0"/>
    <n v="56402.66"/>
    <s v="SOLES"/>
    <x v="1"/>
    <x v="51"/>
    <x v="0"/>
    <d v="2025-04-16T00:00:00"/>
    <n v="15452.783561643837"/>
  </r>
  <r>
    <m/>
    <s v="2749963 SUMINISTRO"/>
    <x v="9"/>
    <x v="2"/>
    <x v="89"/>
    <n v="312"/>
    <n v="11053"/>
    <n v="0"/>
    <n v="11053"/>
    <s v="SOLES"/>
    <x v="1"/>
    <x v="27"/>
    <x v="0"/>
    <d v="2025-04-21T00:00:00"/>
    <n v="3028.2191780821918"/>
  </r>
  <r>
    <m/>
    <s v="FACT FF01-6793"/>
    <x v="56"/>
    <x v="1"/>
    <x v="90"/>
    <n v="311"/>
    <n v="1073"/>
    <n v="0"/>
    <n v="1073"/>
    <s v="DOLARES"/>
    <x v="1"/>
    <x v="18"/>
    <x v="0"/>
    <d v="2025-04-29T00:00:00"/>
    <n v="1073"/>
  </r>
  <r>
    <m/>
    <s v="MARZO PERIODO"/>
    <x v="16"/>
    <x v="1"/>
    <x v="91"/>
    <n v="310"/>
    <n v="2405"/>
    <n v="0"/>
    <n v="2405"/>
    <s v="SOLES"/>
    <x v="1"/>
    <x v="1"/>
    <x v="0"/>
    <d v="2025-04-21T00:00:00"/>
    <n v="658.90410958904113"/>
  </r>
  <r>
    <m/>
    <s v="CLARO"/>
    <x v="42"/>
    <x v="3"/>
    <x v="92"/>
    <n v="309"/>
    <n v="-98"/>
    <n v="0"/>
    <n v="-98"/>
    <s v="SOLES"/>
    <x v="1"/>
    <x v="36"/>
    <x v="0"/>
    <d v="2025-04-22T00:00:00"/>
    <n v="-26.849315068493151"/>
  </r>
  <r>
    <m/>
    <s v="MARZO PERIODO"/>
    <x v="24"/>
    <x v="2"/>
    <x v="92"/>
    <n v="309"/>
    <n v="9926"/>
    <n v="0"/>
    <n v="9926"/>
    <s v="SOLES"/>
    <x v="1"/>
    <x v="1"/>
    <x v="0"/>
    <d v="2025-04-23T00:00:00"/>
    <n v="2719.4520547945208"/>
  </r>
  <r>
    <s v="CRED 113,099"/>
    <s v="CUOTA 20 DE 24"/>
    <x v="27"/>
    <x v="3"/>
    <x v="93"/>
    <n v="308"/>
    <n v="5387.89"/>
    <n v="0"/>
    <n v="5387.89"/>
    <s v="SOLES"/>
    <x v="2"/>
    <x v="15"/>
    <x v="0"/>
    <d v="2025-04-24T00:00:00"/>
    <n v="1476.1342465753426"/>
  </r>
  <r>
    <m/>
    <s v="CUOTA 11 DE 33"/>
    <x v="29"/>
    <x v="1"/>
    <x v="94"/>
    <n v="307"/>
    <n v="11778.38"/>
    <n v="0"/>
    <n v="11778.38"/>
    <s v="SOLES"/>
    <x v="2"/>
    <x v="15"/>
    <x v="0"/>
    <d v="2025-04-24T00:00:00"/>
    <n v="3226.953424657534"/>
  </r>
  <r>
    <m/>
    <s v="MARZO PERIODO"/>
    <x v="24"/>
    <x v="3"/>
    <x v="94"/>
    <n v="307"/>
    <n v="13769"/>
    <n v="0"/>
    <n v="13769"/>
    <s v="SOLES"/>
    <x v="1"/>
    <x v="1"/>
    <x v="0"/>
    <d v="2025-04-25T00:00:00"/>
    <n v="3772.3287671232879"/>
  </r>
  <r>
    <m/>
    <m/>
    <x v="31"/>
    <x v="0"/>
    <x v="95"/>
    <n v="306"/>
    <n v="34386.239999999998"/>
    <n v="0"/>
    <n v="34386.239999999998"/>
    <s v="SOLES"/>
    <x v="0"/>
    <x v="21"/>
    <x v="0"/>
    <d v="2025-05-05T00:00:00"/>
    <n v="9420.8876712328765"/>
  </r>
  <r>
    <s v="VENCE 26/04"/>
    <s v="CLP-464"/>
    <x v="3"/>
    <x v="2"/>
    <x v="95"/>
    <n v="306"/>
    <n v="56"/>
    <n v="0"/>
    <n v="56"/>
    <s v="SOLES"/>
    <x v="1"/>
    <x v="3"/>
    <x v="0"/>
    <d v="2025-04-25T00:00:00"/>
    <n v="15.342465753424658"/>
  </r>
  <r>
    <m/>
    <s v="FACT E001-608"/>
    <x v="32"/>
    <x v="2"/>
    <x v="95"/>
    <n v="306"/>
    <n v="4855.17"/>
    <n v="0"/>
    <n v="4855.17"/>
    <s v="SOLES"/>
    <x v="1"/>
    <x v="19"/>
    <x v="0"/>
    <d v="2025-05-03T00:00:00"/>
    <n v="1330.1835616438357"/>
  </r>
  <r>
    <s v="701_4690_4"/>
    <s v="LT 0925"/>
    <x v="22"/>
    <x v="2"/>
    <x v="96"/>
    <n v="305"/>
    <n v="1026.5999999999999"/>
    <n v="0"/>
    <n v="1026.5999999999999"/>
    <s v="DOLARES"/>
    <x v="1"/>
    <x v="18"/>
    <x v="0"/>
    <d v="2025-04-26T00:00:00"/>
    <n v="1026.5999999999999"/>
  </r>
  <r>
    <m/>
    <s v="FACT F001-10541"/>
    <x v="6"/>
    <x v="2"/>
    <x v="96"/>
    <n v="305"/>
    <n v="4000.01"/>
    <n v="0"/>
    <n v="4000.01"/>
    <s v="SOLES"/>
    <x v="1"/>
    <x v="7"/>
    <x v="0"/>
    <d v="2025-05-05T00:00:00"/>
    <n v="1095.8931506849317"/>
  </r>
  <r>
    <s v="699_2052_4"/>
    <s v="FACT F001-79043"/>
    <x v="11"/>
    <x v="3"/>
    <x v="97"/>
    <n v="304"/>
    <n v="7906"/>
    <n v="0"/>
    <n v="7906"/>
    <s v="DOLARES"/>
    <x v="1"/>
    <x v="11"/>
    <x v="0"/>
    <d v="2025-04-26T00:00:00"/>
    <n v="7906"/>
  </r>
  <r>
    <m/>
    <s v="LT 05-25"/>
    <x v="0"/>
    <x v="0"/>
    <x v="98"/>
    <n v="270"/>
    <n v="5000"/>
    <n v="0"/>
    <n v="5000"/>
    <s v="DOLARES"/>
    <x v="0"/>
    <x v="0"/>
    <x v="1"/>
    <m/>
    <n v="5000"/>
  </r>
  <r>
    <m/>
    <s v="LT 06-25"/>
    <x v="0"/>
    <x v="0"/>
    <x v="99"/>
    <n v="240"/>
    <n v="5000"/>
    <n v="0"/>
    <n v="5000"/>
    <s v="DOLARES"/>
    <x v="0"/>
    <x v="0"/>
    <x v="1"/>
    <m/>
    <n v="5000"/>
  </r>
  <r>
    <m/>
    <s v="LT 07-25"/>
    <x v="0"/>
    <x v="0"/>
    <x v="100"/>
    <n v="209"/>
    <n v="5000"/>
    <n v="0"/>
    <n v="5000"/>
    <s v="DOLARES"/>
    <x v="0"/>
    <x v="0"/>
    <x v="1"/>
    <m/>
    <n v="5000"/>
  </r>
  <r>
    <m/>
    <s v="LT 08-25"/>
    <x v="0"/>
    <x v="0"/>
    <x v="101"/>
    <n v="179"/>
    <n v="5000"/>
    <n v="0"/>
    <n v="5000"/>
    <s v="DOLARES"/>
    <x v="0"/>
    <x v="0"/>
    <x v="1"/>
    <m/>
    <n v="5000"/>
  </r>
  <r>
    <m/>
    <s v="MARZO PERIODO"/>
    <x v="24"/>
    <x v="1"/>
    <x v="102"/>
    <n v="303"/>
    <n v="5976"/>
    <n v="0"/>
    <n v="5976"/>
    <s v="SOLES"/>
    <x v="1"/>
    <x v="1"/>
    <x v="0"/>
    <d v="2025-04-28T00:00:00"/>
    <n v="1637.2602739726028"/>
  </r>
  <r>
    <m/>
    <s v="FACT E001-1362"/>
    <x v="40"/>
    <x v="2"/>
    <x v="102"/>
    <n v="303"/>
    <n v="2519.9899999999998"/>
    <n v="0"/>
    <n v="2519.9899999999998"/>
    <s v="SOLES"/>
    <x v="1"/>
    <x v="33"/>
    <x v="0"/>
    <d v="2025-05-08T00:00:00"/>
    <n v="690.40821917808216"/>
  </r>
  <r>
    <s v="TASA 8.90%"/>
    <s v="CUOTA 59 DE 114"/>
    <x v="33"/>
    <x v="3"/>
    <x v="102"/>
    <n v="303"/>
    <n v="24884.78"/>
    <n v="0"/>
    <n v="24884.78"/>
    <s v="SOLES"/>
    <x v="1"/>
    <x v="15"/>
    <x v="0"/>
    <d v="2025-04-28T00:00:00"/>
    <n v="6817.7479452054795"/>
  </r>
  <r>
    <s v="698_9772_0"/>
    <s v="LT 111"/>
    <x v="2"/>
    <x v="2"/>
    <x v="103"/>
    <n v="302"/>
    <n v="6728.36"/>
    <n v="0"/>
    <n v="6728.36"/>
    <s v="SOLES"/>
    <x v="1"/>
    <x v="5"/>
    <x v="0"/>
    <d v="2025-04-29T00:00:00"/>
    <n v="1843.3863013698631"/>
  </r>
  <r>
    <s v="TASA 15%"/>
    <s v="CUOTA 19 DE 24"/>
    <x v="36"/>
    <x v="1"/>
    <x v="80"/>
    <n v="301"/>
    <n v="6174.34"/>
    <n v="0"/>
    <n v="6174.34"/>
    <s v="SOLES"/>
    <x v="1"/>
    <x v="15"/>
    <x v="0"/>
    <d v="2025-04-30T00:00:00"/>
    <n v="1691.6000000000001"/>
  </r>
  <r>
    <m/>
    <m/>
    <x v="19"/>
    <x v="3"/>
    <x v="80"/>
    <n v="301"/>
    <n v="55000"/>
    <n v="1650"/>
    <n v="53350"/>
    <s v="SOLES"/>
    <x v="1"/>
    <x v="17"/>
    <x v="0"/>
    <d v="2025-05-02T00:00:00"/>
    <n v="14616.438356164384"/>
  </r>
  <r>
    <s v="TASA 15%"/>
    <s v="CUOTA 04 DE 24"/>
    <x v="35"/>
    <x v="1"/>
    <x v="80"/>
    <n v="301"/>
    <n v="9768.16"/>
    <n v="0"/>
    <n v="9768.16"/>
    <s v="SOLES"/>
    <x v="1"/>
    <x v="15"/>
    <x v="0"/>
    <d v="2025-04-30T00:00:00"/>
    <n v="2676.2082191780823"/>
  </r>
  <r>
    <s v="699_3147_3"/>
    <s v="LT 08941-11-00"/>
    <x v="23"/>
    <x v="2"/>
    <x v="80"/>
    <n v="301"/>
    <n v="1843.35"/>
    <n v="0"/>
    <n v="1843.35"/>
    <s v="DOLARES"/>
    <x v="1"/>
    <x v="19"/>
    <x v="0"/>
    <d v="2025-04-30T00:00:00"/>
    <n v="1843.35"/>
  </r>
  <r>
    <s v="..0622500727"/>
    <s v="LT 4897"/>
    <x v="49"/>
    <x v="3"/>
    <x v="104"/>
    <n v="300"/>
    <n v="23700.09"/>
    <n v="0"/>
    <n v="23700.09"/>
    <s v="DOLARES"/>
    <x v="2"/>
    <x v="28"/>
    <x v="0"/>
    <d v="2025-04-30T00:00:00"/>
    <n v="23700.09"/>
  </r>
  <r>
    <s v="RIMAC BML739"/>
    <s v="CUOTA 03 DE 06"/>
    <x v="46"/>
    <x v="1"/>
    <x v="105"/>
    <n v="299"/>
    <n v="203"/>
    <n v="0"/>
    <n v="203"/>
    <s v="DOLARES"/>
    <x v="1"/>
    <x v="40"/>
    <x v="0"/>
    <d v="2025-05-06T00:00:00"/>
    <n v="203"/>
  </r>
  <r>
    <m/>
    <s v="FACT F001-212"/>
    <x v="39"/>
    <x v="2"/>
    <x v="106"/>
    <n v="298"/>
    <n v="472"/>
    <n v="0"/>
    <n v="472"/>
    <s v="DOLARES"/>
    <x v="1"/>
    <x v="34"/>
    <x v="0"/>
    <d v="2025-05-16T00:00:00"/>
    <n v="472"/>
  </r>
  <r>
    <m/>
    <s v="FACT F002-165881"/>
    <x v="52"/>
    <x v="3"/>
    <x v="106"/>
    <n v="298"/>
    <n v="126.26"/>
    <n v="0"/>
    <n v="126.26"/>
    <s v="SOLES"/>
    <x v="2"/>
    <x v="45"/>
    <x v="0"/>
    <d v="2025-05-03T00:00:00"/>
    <n v="34.591780821917808"/>
  </r>
  <r>
    <s v="ETA 10/03"/>
    <s v="INVOICE  25L113"/>
    <x v="57"/>
    <x v="3"/>
    <x v="106"/>
    <n v="298"/>
    <n v="53590"/>
    <n v="0"/>
    <n v="53590"/>
    <s v="DOLARES"/>
    <x v="1"/>
    <x v="25"/>
    <x v="0"/>
    <d v="2025-05-12T00:00:00"/>
    <n v="53590"/>
  </r>
  <r>
    <m/>
    <m/>
    <x v="48"/>
    <x v="3"/>
    <x v="107"/>
    <n v="296"/>
    <n v="90"/>
    <n v="0"/>
    <n v="90"/>
    <s v="SOLES"/>
    <x v="1"/>
    <x v="41"/>
    <x v="0"/>
    <d v="2025-05-05T00:00:00"/>
    <n v="24.657534246575342"/>
  </r>
  <r>
    <m/>
    <s v="RECIBO S001-301905782"/>
    <x v="53"/>
    <x v="3"/>
    <x v="107"/>
    <n v="296"/>
    <n v="284.37"/>
    <n v="0"/>
    <n v="284.37"/>
    <s v="SOLES"/>
    <x v="1"/>
    <x v="36"/>
    <x v="0"/>
    <d v="2025-05-05T00:00:00"/>
    <n v="77.909589041095899"/>
  </r>
  <r>
    <s v="ETA 17/4"/>
    <s v="INVOICE   TF/000602"/>
    <x v="12"/>
    <x v="3"/>
    <x v="108"/>
    <n v="295"/>
    <n v="16751.599999999999"/>
    <n v="0"/>
    <n v="16751.599999999999"/>
    <s v="DOLARES"/>
    <x v="1"/>
    <x v="12"/>
    <x v="0"/>
    <d v="2025-06-25T00:00:00"/>
    <n v="16751.599999999999"/>
  </r>
  <r>
    <m/>
    <m/>
    <x v="7"/>
    <x v="3"/>
    <x v="109"/>
    <n v="294"/>
    <n v="1555"/>
    <n v="0"/>
    <n v="1555"/>
    <s v="SOLES"/>
    <x v="1"/>
    <x v="8"/>
    <x v="0"/>
    <d v="2025-05-07T00:00:00"/>
    <n v="426.02739726027397"/>
  </r>
  <r>
    <m/>
    <m/>
    <x v="7"/>
    <x v="2"/>
    <x v="109"/>
    <n v="294"/>
    <n v="2358"/>
    <n v="0"/>
    <n v="2358"/>
    <s v="SOLES"/>
    <x v="1"/>
    <x v="8"/>
    <x v="0"/>
    <d v="2025-05-07T00:00:00"/>
    <n v="646.02739726027403"/>
  </r>
  <r>
    <m/>
    <m/>
    <x v="7"/>
    <x v="1"/>
    <x v="109"/>
    <n v="294"/>
    <n v="476"/>
    <n v="0"/>
    <n v="476"/>
    <s v="SOLES"/>
    <x v="1"/>
    <x v="8"/>
    <x v="0"/>
    <d v="2025-05-07T00:00:00"/>
    <n v="130.41095890410961"/>
  </r>
  <r>
    <m/>
    <m/>
    <x v="10"/>
    <x v="3"/>
    <x v="110"/>
    <n v="293"/>
    <n v="17000"/>
    <n v="0"/>
    <n v="17000"/>
    <s v="SOLES"/>
    <x v="1"/>
    <x v="10"/>
    <x v="0"/>
    <d v="2025-05-10T00:00:00"/>
    <n v="4657.5342465753429"/>
  </r>
  <r>
    <m/>
    <m/>
    <x v="10"/>
    <x v="2"/>
    <x v="110"/>
    <n v="293"/>
    <n v="17000"/>
    <n v="0"/>
    <n v="17000"/>
    <s v="SOLES"/>
    <x v="1"/>
    <x v="10"/>
    <x v="0"/>
    <d v="2025-05-10T00:00:00"/>
    <n v="4657.5342465753429"/>
  </r>
  <r>
    <m/>
    <s v="6241630 SUMINISTRO"/>
    <x v="5"/>
    <x v="2"/>
    <x v="110"/>
    <n v="293"/>
    <n v="62"/>
    <n v="0"/>
    <n v="62"/>
    <s v="SOLES"/>
    <x v="1"/>
    <x v="6"/>
    <x v="0"/>
    <d v="2025-05-08T00:00:00"/>
    <n v="16.986301369863014"/>
  </r>
  <r>
    <m/>
    <s v="6241635 SUMINISTRO"/>
    <x v="5"/>
    <x v="3"/>
    <x v="110"/>
    <n v="293"/>
    <n v="2385.9"/>
    <n v="0"/>
    <n v="2385.9"/>
    <s v="SOLES"/>
    <x v="1"/>
    <x v="6"/>
    <x v="0"/>
    <d v="2025-05-08T00:00:00"/>
    <n v="653.67123287671234"/>
  </r>
  <r>
    <m/>
    <s v="ABRIL PERIODO"/>
    <x v="8"/>
    <x v="2"/>
    <x v="110"/>
    <n v="293"/>
    <n v="2500"/>
    <n v="0"/>
    <n v="2500"/>
    <s v="SOLES"/>
    <x v="1"/>
    <x v="1"/>
    <x v="0"/>
    <d v="2025-05-08T00:00:00"/>
    <n v="684.93150684931504"/>
  </r>
  <r>
    <m/>
    <s v="ABRIL PERIODO"/>
    <x v="8"/>
    <x v="3"/>
    <x v="110"/>
    <n v="293"/>
    <n v="1320"/>
    <n v="0"/>
    <n v="1320"/>
    <s v="SOLES"/>
    <x v="1"/>
    <x v="1"/>
    <x v="0"/>
    <d v="2025-05-08T00:00:00"/>
    <n v="361.64383561643837"/>
  </r>
  <r>
    <m/>
    <s v="ABRIL PERIODO"/>
    <x v="8"/>
    <x v="1"/>
    <x v="110"/>
    <n v="293"/>
    <n v="850"/>
    <n v="0"/>
    <n v="850"/>
    <s v="SOLES"/>
    <x v="1"/>
    <x v="1"/>
    <x v="0"/>
    <d v="2025-05-08T00:00:00"/>
    <n v="232.87671232876713"/>
  </r>
  <r>
    <s v="700_7450_5"/>
    <s v="LT 2025-013"/>
    <x v="44"/>
    <x v="2"/>
    <x v="111"/>
    <n v="292"/>
    <n v="902.7"/>
    <n v="0"/>
    <n v="902.7"/>
    <s v="DOLARES"/>
    <x v="1"/>
    <x v="38"/>
    <x v="0"/>
    <d v="2025-05-09T00:00:00"/>
    <n v="902.7"/>
  </r>
  <r>
    <m/>
    <s v="LT 7130"/>
    <x v="18"/>
    <x v="2"/>
    <x v="112"/>
    <n v="290"/>
    <n v="3672.75"/>
    <n v="0"/>
    <n v="3672.75"/>
    <s v="DOLARES"/>
    <x v="4"/>
    <x v="16"/>
    <x v="0"/>
    <d v="2025-05-09T00:00:00"/>
    <n v="3672.75"/>
  </r>
  <r>
    <m/>
    <s v="1975640 SUMINISTRO"/>
    <x v="9"/>
    <x v="3"/>
    <x v="113"/>
    <n v="289"/>
    <n v="154"/>
    <n v="0"/>
    <n v="154"/>
    <s v="SOLES"/>
    <x v="1"/>
    <x v="27"/>
    <x v="0"/>
    <d v="2025-05-13T00:00:00"/>
    <n v="42.19178082191781"/>
  </r>
  <r>
    <m/>
    <s v="0883909 SUMNISTRO"/>
    <x v="9"/>
    <x v="3"/>
    <x v="113"/>
    <n v="289"/>
    <n v="2251"/>
    <n v="0"/>
    <n v="2251"/>
    <s v="SOLES"/>
    <x v="1"/>
    <x v="27"/>
    <x v="0"/>
    <d v="2025-05-13T00:00:00"/>
    <n v="616.71232876712327"/>
  </r>
  <r>
    <s v="_x000a_700_3833_3"/>
    <s v="LT 1399-2025"/>
    <x v="14"/>
    <x v="2"/>
    <x v="113"/>
    <n v="289"/>
    <n v="15500"/>
    <n v="0"/>
    <n v="15500"/>
    <s v="SOLES"/>
    <x v="1"/>
    <x v="52"/>
    <x v="0"/>
    <d v="2025-05-13T00:00:00"/>
    <n v="4246.5753424657532"/>
  </r>
  <r>
    <m/>
    <s v="F002-166897"/>
    <x v="52"/>
    <x v="3"/>
    <x v="114"/>
    <n v="288"/>
    <n v="519.91"/>
    <n v="0"/>
    <n v="519.91"/>
    <s v="SOLES"/>
    <x v="1"/>
    <x v="45"/>
    <x v="0"/>
    <d v="2025-05-13T00:00:00"/>
    <n v="142.44109589041096"/>
  </r>
  <r>
    <s v="TASA 7.2%"/>
    <s v="CUOTA 5 DE 180"/>
    <x v="54"/>
    <x v="0"/>
    <x v="114"/>
    <n v="288"/>
    <n v="30099.17"/>
    <n v="0"/>
    <n v="30099.17"/>
    <s v="SOLES"/>
    <x v="2"/>
    <x v="15"/>
    <x v="0"/>
    <d v="2025-05-13T00:00:00"/>
    <n v="8246.3479452054798"/>
  </r>
  <r>
    <s v="DES 90,000"/>
    <s v="CUOTA 14 DE 24"/>
    <x v="15"/>
    <x v="2"/>
    <x v="114"/>
    <n v="288"/>
    <n v="4280.91"/>
    <n v="0"/>
    <n v="4280.91"/>
    <s v="SOLES"/>
    <x v="1"/>
    <x v="15"/>
    <x v="0"/>
    <d v="2025-05-13T00:00:00"/>
    <n v="1172.8520547945204"/>
  </r>
  <r>
    <m/>
    <s v="ABRIL PERIODO"/>
    <x v="16"/>
    <x v="2"/>
    <x v="115"/>
    <n v="287"/>
    <n v="3600"/>
    <n v="0"/>
    <n v="3600"/>
    <s v="SOLES"/>
    <x v="2"/>
    <x v="1"/>
    <x v="0"/>
    <d v="2025-05-14T00:00:00"/>
    <n v="986.30136986301375"/>
  </r>
  <r>
    <m/>
    <s v="ABRIL PERIODO"/>
    <x v="20"/>
    <x v="0"/>
    <x v="115"/>
    <n v="287"/>
    <n v="2625"/>
    <n v="0"/>
    <n v="2625"/>
    <s v="SOLES"/>
    <x v="1"/>
    <x v="1"/>
    <x v="0"/>
    <d v="2025-05-21T00:00:00"/>
    <n v="719.17808219178085"/>
  </r>
  <r>
    <s v="TASA 15%"/>
    <s v="CUOTA 23 DE 24"/>
    <x v="17"/>
    <x v="1"/>
    <x v="116"/>
    <n v="286"/>
    <n v="9770.31"/>
    <n v="0"/>
    <n v="9770.31"/>
    <s v="SOLES"/>
    <x v="1"/>
    <x v="15"/>
    <x v="0"/>
    <d v="2025-05-14T00:00:00"/>
    <n v="2676.7972602739724"/>
  </r>
  <r>
    <m/>
    <m/>
    <x v="19"/>
    <x v="3"/>
    <x v="116"/>
    <n v="286"/>
    <n v="55000"/>
    <n v="1650"/>
    <n v="53350"/>
    <s v="SOLES"/>
    <x v="1"/>
    <x v="17"/>
    <x v="0"/>
    <d v="2025-05-15T00:00:00"/>
    <n v="14616.438356164384"/>
  </r>
  <r>
    <m/>
    <s v="FACT E001-107"/>
    <x v="50"/>
    <x v="2"/>
    <x v="116"/>
    <n v="286"/>
    <n v="7656.97"/>
    <n v="0"/>
    <n v="7656.97"/>
    <s v="SOLES"/>
    <x v="1"/>
    <x v="47"/>
    <x v="0"/>
    <d v="2025-05-23T00:00:00"/>
    <n v="2097.8000000000002"/>
  </r>
  <r>
    <m/>
    <s v="CUOTA 2 DE 09"/>
    <x v="55"/>
    <x v="2"/>
    <x v="117"/>
    <n v="285"/>
    <n v="784"/>
    <n v="0"/>
    <n v="784"/>
    <s v="SOLES"/>
    <x v="1"/>
    <x v="1"/>
    <x v="0"/>
    <d v="2025-05-17T00:00:00"/>
    <n v="214.79452054794521"/>
  </r>
  <r>
    <m/>
    <s v="ABRIL PERIODO"/>
    <x v="16"/>
    <x v="3"/>
    <x v="118"/>
    <n v="284"/>
    <n v="3900"/>
    <n v="0"/>
    <n v="3900"/>
    <s v="SOLES"/>
    <x v="1"/>
    <x v="1"/>
    <x v="0"/>
    <d v="2025-05-17T00:00:00"/>
    <n v="1068.4931506849316"/>
  </r>
  <r>
    <m/>
    <s v="CUOTA 2 DE 09"/>
    <x v="55"/>
    <x v="3"/>
    <x v="119"/>
    <n v="282"/>
    <n v="3930"/>
    <n v="0"/>
    <n v="3930"/>
    <s v="SOLES"/>
    <x v="1"/>
    <x v="1"/>
    <x v="0"/>
    <d v="2025-05-19T00:00:00"/>
    <n v="1076.7123287671234"/>
  </r>
  <r>
    <m/>
    <s v="ABRIL PERIODO"/>
    <x v="21"/>
    <x v="3"/>
    <x v="119"/>
    <n v="282"/>
    <n v="4894"/>
    <n v="0"/>
    <n v="4894"/>
    <s v="SOLES"/>
    <x v="1"/>
    <x v="1"/>
    <x v="0"/>
    <d v="2025-05-19T00:00:00"/>
    <n v="1340.8219178082193"/>
  </r>
  <r>
    <m/>
    <s v="NORBRIGHT"/>
    <x v="58"/>
    <x v="3"/>
    <x v="119"/>
    <n v="282"/>
    <n v="45840"/>
    <n v="0"/>
    <n v="45840"/>
    <s v="SOLES"/>
    <x v="1"/>
    <x v="25"/>
    <x v="0"/>
    <d v="2025-05-15T00:00:00"/>
    <n v="12558.904109589041"/>
  </r>
  <r>
    <m/>
    <s v="ABRIL PERIODO"/>
    <x v="16"/>
    <x v="1"/>
    <x v="120"/>
    <n v="281"/>
    <n v="2520"/>
    <n v="0"/>
    <n v="2520"/>
    <s v="SOLES"/>
    <x v="1"/>
    <x v="1"/>
    <x v="0"/>
    <d v="2025-05-21T00:00:00"/>
    <n v="690.41095890410963"/>
  </r>
  <r>
    <s v="..0652500013"/>
    <s v="LT 000668"/>
    <x v="38"/>
    <x v="1"/>
    <x v="120"/>
    <n v="281"/>
    <n v="6346"/>
    <n v="0"/>
    <n v="6346"/>
    <s v="DOLARES"/>
    <x v="2"/>
    <x v="26"/>
    <x v="0"/>
    <d v="2025-05-20T00:00:00"/>
    <n v="6346"/>
  </r>
  <r>
    <s v="30% PROD"/>
    <s v="PI  GKL25040101"/>
    <x v="59"/>
    <x v="2"/>
    <x v="121"/>
    <n v="280"/>
    <n v="13618.08"/>
    <n v="0"/>
    <n v="13618.08"/>
    <s v="DOLARES"/>
    <x v="1"/>
    <x v="32"/>
    <x v="0"/>
    <d v="2025-05-22T00:00:00"/>
    <n v="13618.08"/>
  </r>
  <r>
    <m/>
    <s v="CUOTA 02 DE 09"/>
    <x v="55"/>
    <x v="1"/>
    <x v="121"/>
    <n v="280"/>
    <n v="995"/>
    <n v="0"/>
    <n v="995"/>
    <s v="SOLES"/>
    <x v="1"/>
    <x v="1"/>
    <x v="0"/>
    <d v="2025-05-22T00:00:00"/>
    <n v="272.60273972602738"/>
  </r>
  <r>
    <m/>
    <s v="2749963 SUMINISTRO"/>
    <x v="9"/>
    <x v="2"/>
    <x v="121"/>
    <n v="280"/>
    <n v="9746"/>
    <n v="0"/>
    <n v="9746"/>
    <s v="SOLES"/>
    <x v="1"/>
    <x v="27"/>
    <x v="0"/>
    <d v="2025-05-22T00:00:00"/>
    <n v="2670.1369863013701"/>
  </r>
  <r>
    <s v="..0282500925"/>
    <s v="LT 004888"/>
    <x v="49"/>
    <x v="3"/>
    <x v="121"/>
    <n v="280"/>
    <n v="161414.51"/>
    <n v="4842.4353000000001"/>
    <n v="156572.0747"/>
    <s v="SOLES"/>
    <x v="2"/>
    <x v="13"/>
    <x v="0"/>
    <d v="2025-05-21T00:00:00"/>
    <n v="42896.458821917811"/>
  </r>
  <r>
    <s v="TASA 8.7%"/>
    <s v="IMPT 120K"/>
    <x v="60"/>
    <x v="3"/>
    <x v="121"/>
    <n v="280"/>
    <n v="124953"/>
    <n v="0"/>
    <n v="124953"/>
    <s v="DOLARES"/>
    <x v="2"/>
    <x v="15"/>
    <x v="0"/>
    <d v="2025-05-21T00:00:00"/>
    <n v="124953"/>
  </r>
  <r>
    <s v="CRED 113,099"/>
    <s v="CUOTA 21 DE 24"/>
    <x v="27"/>
    <x v="3"/>
    <x v="122"/>
    <n v="278"/>
    <n v="5387.89"/>
    <n v="0"/>
    <n v="5387.89"/>
    <s v="SOLES"/>
    <x v="2"/>
    <x v="15"/>
    <x v="0"/>
    <d v="2025-05-23T00:00:00"/>
    <n v="1476.1342465753426"/>
  </r>
  <r>
    <s v="699_6827_7"/>
    <s v="LT 8994-11-00"/>
    <x v="23"/>
    <x v="3"/>
    <x v="122"/>
    <n v="278"/>
    <n v="5850.3"/>
    <n v="0"/>
    <n v="5850.3"/>
    <s v="DOLARES"/>
    <x v="1"/>
    <x v="19"/>
    <x v="0"/>
    <d v="2025-05-23T00:00:00"/>
    <n v="5850.3"/>
  </r>
  <r>
    <s v="699_6827_3"/>
    <s v="LT 08998-11-00"/>
    <x v="23"/>
    <x v="2"/>
    <x v="122"/>
    <n v="278"/>
    <n v="6190.63"/>
    <n v="0"/>
    <n v="6190.63"/>
    <s v="DOLARES"/>
    <x v="1"/>
    <x v="19"/>
    <x v="0"/>
    <d v="2025-05-23T00:00:00"/>
    <n v="6190.63"/>
  </r>
  <r>
    <m/>
    <m/>
    <x v="31"/>
    <x v="0"/>
    <x v="123"/>
    <n v="276"/>
    <n v="80000"/>
    <n v="0"/>
    <n v="80000"/>
    <s v="SOLES"/>
    <x v="0"/>
    <x v="21"/>
    <x v="0"/>
    <d v="2025-05-12T00:00:00"/>
    <n v="21917.808219178081"/>
  </r>
  <r>
    <m/>
    <s v="CUOTA 12 DE 33"/>
    <x v="29"/>
    <x v="1"/>
    <x v="124"/>
    <n v="275"/>
    <n v="11778.38"/>
    <n v="0"/>
    <n v="11778.38"/>
    <s v="SOLES"/>
    <x v="2"/>
    <x v="15"/>
    <x v="0"/>
    <d v="2025-05-26T00:00:00"/>
    <n v="3226.953424657534"/>
  </r>
  <r>
    <s v="RENTA"/>
    <s v="ABRIL PERIODO"/>
    <x v="24"/>
    <x v="2"/>
    <x v="124"/>
    <n v="275"/>
    <n v="7907"/>
    <n v="0"/>
    <n v="7907"/>
    <s v="SOLES"/>
    <x v="1"/>
    <x v="1"/>
    <x v="0"/>
    <d v="2025-05-26T00:00:00"/>
    <n v="2166.3013698630139"/>
  </r>
  <r>
    <s v="..0652500215_x0009_"/>
    <s v="LT 670"/>
    <x v="38"/>
    <x v="2"/>
    <x v="125"/>
    <n v="274"/>
    <n v="23000"/>
    <n v="0"/>
    <n v="23000"/>
    <s v="SOLES"/>
    <x v="2"/>
    <x v="12"/>
    <x v="0"/>
    <d v="2025-05-28T00:00:00"/>
    <n v="6301.3698630136987"/>
  </r>
  <r>
    <s v="703_0261_9"/>
    <s v="FACT F001-79804"/>
    <x v="11"/>
    <x v="3"/>
    <x v="125"/>
    <n v="274"/>
    <n v="7906"/>
    <n v="0"/>
    <n v="7906"/>
    <s v="DOLARES"/>
    <x v="1"/>
    <x v="11"/>
    <x v="0"/>
    <d v="2025-05-27T00:00:00"/>
    <n v="7906"/>
  </r>
  <r>
    <s v="RENTA"/>
    <s v="ABRIL PERIODO"/>
    <x v="24"/>
    <x v="1"/>
    <x v="126"/>
    <n v="273"/>
    <n v="122"/>
    <n v="0"/>
    <n v="122"/>
    <s v="SOLES"/>
    <x v="1"/>
    <x v="1"/>
    <x v="0"/>
    <d v="2025-05-30T00:00:00"/>
    <n v="33.424657534246577"/>
  </r>
  <r>
    <s v="TASA 8.9%"/>
    <s v="CUOTA 60 DE 114"/>
    <x v="33"/>
    <x v="3"/>
    <x v="126"/>
    <n v="273"/>
    <n v="24518.36"/>
    <n v="0"/>
    <n v="24518.36"/>
    <s v="SOLES"/>
    <x v="1"/>
    <x v="15"/>
    <x v="0"/>
    <d v="2025-05-28T00:00:00"/>
    <n v="6717.3589041095893"/>
  </r>
  <r>
    <s v="CLP-464"/>
    <s v="CUOTA 01 DE 04"/>
    <x v="45"/>
    <x v="2"/>
    <x v="17"/>
    <n v="362"/>
    <n v="308.01"/>
    <n v="0"/>
    <n v="308.01"/>
    <s v="SOLES"/>
    <x v="1"/>
    <x v="39"/>
    <x v="0"/>
    <d v="2025-05-28T00:00:00"/>
    <n v="84.38630136986302"/>
  </r>
  <r>
    <m/>
    <s v="FACT E001-108"/>
    <x v="50"/>
    <x v="2"/>
    <x v="127"/>
    <n v="272"/>
    <n v="7390"/>
    <n v="0"/>
    <n v="7390"/>
    <s v="SOLES"/>
    <x v="1"/>
    <x v="47"/>
    <x v="0"/>
    <d v="2025-06-11T00:00:00"/>
    <n v="2024.6575342465753"/>
  </r>
  <r>
    <m/>
    <s v="FACT F001-10833"/>
    <x v="6"/>
    <x v="2"/>
    <x v="127"/>
    <n v="272"/>
    <n v="4216.01"/>
    <n v="0"/>
    <n v="4216.01"/>
    <s v="SOLES"/>
    <x v="1"/>
    <x v="7"/>
    <x v="0"/>
    <d v="2025-06-11T00:00:00"/>
    <n v="1155.0712328767124"/>
  </r>
  <r>
    <s v="TASA 15%"/>
    <s v="CUOTA 20 DE 24"/>
    <x v="36"/>
    <x v="1"/>
    <x v="128"/>
    <n v="271"/>
    <n v="6174.34"/>
    <n v="0"/>
    <n v="6174.34"/>
    <s v="SOLES"/>
    <x v="1"/>
    <x v="15"/>
    <x v="0"/>
    <d v="2025-05-29T00:00:00"/>
    <n v="1691.6000000000001"/>
  </r>
  <r>
    <s v="TASA 15%"/>
    <s v="CUOTA 05 DE 24"/>
    <x v="35"/>
    <x v="1"/>
    <x v="128"/>
    <n v="271"/>
    <n v="9768.16"/>
    <n v="0"/>
    <n v="9768.16"/>
    <s v="SOLES"/>
    <x v="1"/>
    <x v="15"/>
    <x v="0"/>
    <d v="2025-05-29T00:00:00"/>
    <n v="2676.2082191780823"/>
  </r>
  <r>
    <s v="CHP-029"/>
    <s v="CUOTA 02 DE 04"/>
    <x v="45"/>
    <x v="3"/>
    <x v="128"/>
    <n v="271"/>
    <n v="372.45"/>
    <n v="0"/>
    <n v="372.45"/>
    <s v="SOLES"/>
    <x v="1"/>
    <x v="39"/>
    <x v="0"/>
    <d v="2025-06-03T00:00:00"/>
    <n v="102.04109589041096"/>
  </r>
  <r>
    <s v="TASA 14.62%"/>
    <s v="IMPT 30K"/>
    <x v="28"/>
    <x v="2"/>
    <x v="128"/>
    <n v="271"/>
    <n v="31017.52"/>
    <n v="0"/>
    <n v="31017.52"/>
    <s v="DOLARES"/>
    <x v="1"/>
    <x v="15"/>
    <x v="0"/>
    <d v="2025-06-02T00:00:00"/>
    <n v="31017.52"/>
  </r>
  <r>
    <s v="ETA 16/12"/>
    <s v="INVOICE 34321 EME"/>
    <x v="61"/>
    <x v="3"/>
    <x v="128"/>
    <n v="271"/>
    <n v="39841.199999999997"/>
    <n v="0"/>
    <n v="39841.199999999997"/>
    <s v="DOLARES"/>
    <x v="1"/>
    <x v="28"/>
    <x v="0"/>
    <d v="2025-06-02T00:00:00"/>
    <n v="39841.199999999997"/>
  </r>
  <r>
    <s v="CLP-464"/>
    <s v="CUOTA 02 DE 04"/>
    <x v="45"/>
    <x v="2"/>
    <x v="128"/>
    <n v="271"/>
    <n v="300.12"/>
    <n v="0"/>
    <n v="300.12"/>
    <s v="SOLES"/>
    <x v="1"/>
    <x v="39"/>
    <x v="0"/>
    <d v="2025-06-03T00:00:00"/>
    <n v="82.224657534246575"/>
  </r>
  <r>
    <s v="ETA 06/06"/>
    <s v="GWI INVESMENTS / FAC 62025-10"/>
    <x v="62"/>
    <x v="3"/>
    <x v="128"/>
    <n v="271"/>
    <n v="17338.84"/>
    <n v="0"/>
    <n v="17338.84"/>
    <s v="SOLES"/>
    <x v="1"/>
    <x v="23"/>
    <x v="0"/>
    <d v="2025-05-31T00:00:00"/>
    <n v="4750.3671232876713"/>
  </r>
  <r>
    <s v="ETA 06/06"/>
    <s v="FAPRICELLA / FACT 62025-0174"/>
    <x v="62"/>
    <x v="1"/>
    <x v="128"/>
    <n v="271"/>
    <n v="42826.27"/>
    <n v="0"/>
    <n v="42826.27"/>
    <s v="SOLES"/>
    <x v="1"/>
    <x v="23"/>
    <x v="0"/>
    <d v="2025-05-31T00:00:00"/>
    <n v="11733.224657534245"/>
  </r>
  <r>
    <s v="..0652500216"/>
    <s v="LT 4903"/>
    <x v="49"/>
    <x v="3"/>
    <x v="98"/>
    <n v="270"/>
    <n v="140986.01"/>
    <n v="0"/>
    <n v="140986.01"/>
    <s v="SOLES"/>
    <x v="2"/>
    <x v="52"/>
    <x v="0"/>
    <d v="2025-05-31T00:00:00"/>
    <n v="38626.304109589044"/>
  </r>
  <r>
    <m/>
    <m/>
    <x v="19"/>
    <x v="3"/>
    <x v="98"/>
    <n v="270"/>
    <n v="55000"/>
    <n v="1650"/>
    <n v="53350"/>
    <s v="SOLES"/>
    <x v="1"/>
    <x v="17"/>
    <x v="0"/>
    <d v="2025-06-02T00:00:00"/>
    <n v="14616.438356164384"/>
  </r>
  <r>
    <s v="RIMAC BML739"/>
    <s v="CUOTA 04 DE 06"/>
    <x v="46"/>
    <x v="1"/>
    <x v="129"/>
    <n v="268"/>
    <n v="203"/>
    <n v="0"/>
    <n v="203"/>
    <s v="DOLARES"/>
    <x v="1"/>
    <x v="40"/>
    <x v="0"/>
    <d v="2025-06-03T00:00:00"/>
    <n v="203"/>
  </r>
  <r>
    <s v="705_4541_1"/>
    <s v="LT 1125"/>
    <x v="22"/>
    <x v="2"/>
    <x v="129"/>
    <n v="268"/>
    <n v="1026.5999999999999"/>
    <n v="0"/>
    <n v="1026.5999999999999"/>
    <s v="DOLARES"/>
    <x v="1"/>
    <x v="18"/>
    <x v="0"/>
    <d v="2025-06-02T00:00:00"/>
    <n v="1026.5999999999999"/>
  </r>
  <r>
    <m/>
    <s v="FACT E001-146"/>
    <x v="41"/>
    <x v="2"/>
    <x v="129"/>
    <n v="268"/>
    <n v="2998.38"/>
    <n v="0"/>
    <n v="2998.38"/>
    <s v="SOLES"/>
    <x v="1"/>
    <x v="35"/>
    <x v="0"/>
    <d v="2025-06-11T00:00:00"/>
    <n v="821.47397260273976"/>
  </r>
  <r>
    <m/>
    <s v="FACT F002-168566"/>
    <x v="52"/>
    <x v="3"/>
    <x v="129"/>
    <n v="268"/>
    <n v="126.26"/>
    <n v="0"/>
    <n v="126.26"/>
    <s v="SOLES"/>
    <x v="2"/>
    <x v="45"/>
    <x v="0"/>
    <d v="2025-06-11T00:00:00"/>
    <n v="34.591780821917808"/>
  </r>
  <r>
    <s v="ETA 03/06"/>
    <s v="INVOICE  SGC-13113-0001"/>
    <x v="63"/>
    <x v="3"/>
    <x v="130"/>
    <n v="267"/>
    <n v="11469.6"/>
    <n v="0"/>
    <n v="11469.6"/>
    <s v="DOLARES"/>
    <x v="1"/>
    <x v="50"/>
    <x v="0"/>
    <d v="2025-06-04T00:00:00"/>
    <n v="11469.6"/>
  </r>
  <r>
    <m/>
    <s v="6241630 SUMINISTRO"/>
    <x v="5"/>
    <x v="2"/>
    <x v="131"/>
    <n v="266"/>
    <n v="48.4"/>
    <n v="0"/>
    <n v="48.4"/>
    <s v="SOLES"/>
    <x v="1"/>
    <x v="6"/>
    <x v="0"/>
    <d v="2025-06-04T00:00:00"/>
    <n v="13.260273972602739"/>
  </r>
  <r>
    <m/>
    <s v="6241635 SUMINISTRO"/>
    <x v="5"/>
    <x v="3"/>
    <x v="131"/>
    <n v="266"/>
    <n v="2440.4"/>
    <n v="0"/>
    <n v="2440.4"/>
    <s v="SOLES"/>
    <x v="1"/>
    <x v="6"/>
    <x v="0"/>
    <d v="2025-06-04T00:00:00"/>
    <n v="668.60273972602749"/>
  </r>
  <r>
    <m/>
    <m/>
    <x v="48"/>
    <x v="3"/>
    <x v="132"/>
    <n v="265"/>
    <n v="90"/>
    <n v="0"/>
    <n v="90"/>
    <s v="SOLES"/>
    <x v="1"/>
    <x v="41"/>
    <x v="0"/>
    <d v="2025-06-05T00:00:00"/>
    <n v="24.657534246575342"/>
  </r>
  <r>
    <m/>
    <s v="RECIBOS001-3020720899"/>
    <x v="53"/>
    <x v="3"/>
    <x v="132"/>
    <n v="265"/>
    <n v="284.37"/>
    <n v="0"/>
    <n v="284.37"/>
    <s v="SOLES"/>
    <x v="1"/>
    <x v="36"/>
    <x v="0"/>
    <d v="2025-06-05T00:00:00"/>
    <n v="77.909589041095899"/>
  </r>
  <r>
    <m/>
    <s v="MAYO PERIODO"/>
    <x v="7"/>
    <x v="3"/>
    <x v="133"/>
    <n v="264"/>
    <n v="2798"/>
    <n v="0"/>
    <n v="2798"/>
    <s v="SOLES"/>
    <x v="1"/>
    <x v="8"/>
    <x v="0"/>
    <d v="2025-06-06T00:00:00"/>
    <n v="766.57534246575347"/>
  </r>
  <r>
    <m/>
    <s v="MAYO PERIODO"/>
    <x v="7"/>
    <x v="2"/>
    <x v="133"/>
    <n v="264"/>
    <n v="2444"/>
    <n v="0"/>
    <n v="2444"/>
    <s v="SOLES"/>
    <x v="1"/>
    <x v="8"/>
    <x v="0"/>
    <d v="2025-06-06T00:00:00"/>
    <n v="669.58904109589048"/>
  </r>
  <r>
    <m/>
    <s v="MAYO PERIODO"/>
    <x v="7"/>
    <x v="1"/>
    <x v="133"/>
    <n v="264"/>
    <n v="450"/>
    <n v="0"/>
    <n v="450"/>
    <s v="SOLES"/>
    <x v="1"/>
    <x v="8"/>
    <x v="0"/>
    <d v="2025-06-06T00:00:00"/>
    <n v="123.28767123287672"/>
  </r>
  <r>
    <m/>
    <s v="MAYO PERIODO"/>
    <x v="8"/>
    <x v="2"/>
    <x v="133"/>
    <n v="264"/>
    <n v="2350"/>
    <n v="0"/>
    <n v="2350"/>
    <s v="SOLES"/>
    <x v="1"/>
    <x v="29"/>
    <x v="0"/>
    <d v="2025-06-06T00:00:00"/>
    <n v="643.83561643835617"/>
  </r>
  <r>
    <m/>
    <s v="MAYO PERIODO"/>
    <x v="8"/>
    <x v="3"/>
    <x v="133"/>
    <n v="264"/>
    <n v="1300"/>
    <n v="0"/>
    <n v="1300"/>
    <s v="SOLES"/>
    <x v="1"/>
    <x v="29"/>
    <x v="0"/>
    <d v="2025-06-06T00:00:00"/>
    <n v="356.16438356164383"/>
  </r>
  <r>
    <m/>
    <s v="MAYO PERIODO"/>
    <x v="8"/>
    <x v="1"/>
    <x v="133"/>
    <n v="264"/>
    <n v="1010"/>
    <n v="0"/>
    <n v="1010"/>
    <s v="SOLES"/>
    <x v="1"/>
    <x v="29"/>
    <x v="0"/>
    <d v="2025-06-06T00:00:00"/>
    <n v="276.71232876712327"/>
  </r>
  <r>
    <s v="703_4024_6"/>
    <s v="LT 09053-11-00"/>
    <x v="23"/>
    <x v="2"/>
    <x v="133"/>
    <n v="264"/>
    <n v="1647.94"/>
    <n v="0"/>
    <n v="1647.94"/>
    <s v="DOLARES"/>
    <x v="1"/>
    <x v="19"/>
    <x v="0"/>
    <d v="2025-06-06T00:00:00"/>
    <n v="1647.94"/>
  </r>
  <r>
    <s v="703_7356_9"/>
    <s v="LT 09052-11-00"/>
    <x v="23"/>
    <x v="3"/>
    <x v="133"/>
    <n v="264"/>
    <n v="7235.52"/>
    <n v="0"/>
    <n v="7235.52"/>
    <s v="DOLARES"/>
    <x v="1"/>
    <x v="19"/>
    <x v="0"/>
    <d v="2025-06-06T00:00:00"/>
    <n v="7235.52"/>
  </r>
  <r>
    <m/>
    <s v="0883909 SUMNISTRO"/>
    <x v="9"/>
    <x v="3"/>
    <x v="133"/>
    <n v="264"/>
    <n v="1955.5"/>
    <n v="0"/>
    <n v="1955.5"/>
    <s v="SOLES"/>
    <x v="1"/>
    <x v="27"/>
    <x v="0"/>
    <d v="2025-06-06T00:00:00"/>
    <n v="535.75342465753431"/>
  </r>
  <r>
    <m/>
    <s v="1975640 SUMINISTRO"/>
    <x v="9"/>
    <x v="3"/>
    <x v="133"/>
    <n v="264"/>
    <n v="151"/>
    <n v="0"/>
    <n v="151"/>
    <s v="SOLES"/>
    <x v="1"/>
    <x v="27"/>
    <x v="0"/>
    <d v="2025-06-06T00:00:00"/>
    <n v="41.369863013698634"/>
  </r>
  <r>
    <n v="10085717"/>
    <s v="LT 7162"/>
    <x v="18"/>
    <x v="2"/>
    <x v="134"/>
    <n v="262"/>
    <n v="53572"/>
    <n v="0"/>
    <n v="53572"/>
    <s v="DOLARES"/>
    <x v="4"/>
    <x v="30"/>
    <x v="0"/>
    <d v="2025-06-10T00:00:00"/>
    <n v="53572"/>
  </r>
  <r>
    <n v="10085718"/>
    <s v="LT 7170"/>
    <x v="18"/>
    <x v="2"/>
    <x v="134"/>
    <n v="262"/>
    <n v="3672.75"/>
    <n v="0"/>
    <n v="3672.75"/>
    <s v="DOLARES"/>
    <x v="4"/>
    <x v="16"/>
    <x v="0"/>
    <d v="2025-06-10T00:00:00"/>
    <n v="3672.75"/>
  </r>
  <r>
    <m/>
    <m/>
    <x v="10"/>
    <x v="3"/>
    <x v="134"/>
    <n v="262"/>
    <n v="17000"/>
    <n v="0"/>
    <n v="17000"/>
    <s v="SOLES"/>
    <x v="1"/>
    <x v="10"/>
    <x v="0"/>
    <d v="2025-06-11T00:00:00"/>
    <n v="4657.5342465753429"/>
  </r>
  <r>
    <m/>
    <m/>
    <x v="10"/>
    <x v="2"/>
    <x v="134"/>
    <n v="262"/>
    <n v="17000"/>
    <n v="0"/>
    <n v="17000"/>
    <s v="SOLES"/>
    <x v="1"/>
    <x v="10"/>
    <x v="0"/>
    <d v="2025-06-11T00:00:00"/>
    <n v="4657.5342465753429"/>
  </r>
  <r>
    <s v="703_4024_7"/>
    <s v="LT 09083-11-00"/>
    <x v="23"/>
    <x v="2"/>
    <x v="135"/>
    <n v="260"/>
    <n v="7533.52"/>
    <n v="0"/>
    <n v="7533.52"/>
    <s v="DOLARES"/>
    <x v="1"/>
    <x v="19"/>
    <x v="0"/>
    <d v="2025-06-10T00:00:00"/>
    <n v="7533.52"/>
  </r>
  <r>
    <s v="_x000a_703_7356_8"/>
    <s v="LT 09082-11-00"/>
    <x v="23"/>
    <x v="3"/>
    <x v="135"/>
    <n v="260"/>
    <n v="3962.01"/>
    <n v="0"/>
    <n v="3962.01"/>
    <s v="DOLARES"/>
    <x v="1"/>
    <x v="19"/>
    <x v="0"/>
    <d v="2025-06-10T00:00:00"/>
    <n v="3962.01"/>
  </r>
  <r>
    <s v="701_9312_9"/>
    <s v="LT 2025-025"/>
    <x v="44"/>
    <x v="2"/>
    <x v="136"/>
    <n v="259"/>
    <n v="1457.06"/>
    <n v="0"/>
    <n v="1457.06"/>
    <s v="DOLARES"/>
    <x v="1"/>
    <x v="38"/>
    <x v="0"/>
    <d v="2025-06-12T00:00:00"/>
    <n v="1457.06"/>
  </r>
  <r>
    <s v="TASA 7.2%"/>
    <s v="CUOTA 6 DE 180"/>
    <x v="54"/>
    <x v="0"/>
    <x v="137"/>
    <n v="257"/>
    <n v="30099.17"/>
    <n v="0"/>
    <n v="30099.17"/>
    <s v="SOLES"/>
    <x v="2"/>
    <x v="15"/>
    <x v="0"/>
    <d v="2025-06-14T00:00:00"/>
    <n v="8246.3479452054798"/>
  </r>
  <r>
    <s v="ETA 14/04"/>
    <s v="INVOICE  ELK-250219-1K"/>
    <x v="37"/>
    <x v="3"/>
    <x v="137"/>
    <n v="257"/>
    <n v="82000"/>
    <n v="0"/>
    <n v="82000"/>
    <s v="DOLARES"/>
    <x v="1"/>
    <x v="30"/>
    <x v="0"/>
    <d v="2025-07-11T00:00:00"/>
    <n v="82000"/>
  </r>
  <r>
    <m/>
    <s v="FACT FF02-169589"/>
    <x v="52"/>
    <x v="3"/>
    <x v="137"/>
    <n v="257"/>
    <n v="519.91"/>
    <n v="0"/>
    <n v="519.91"/>
    <s v="SOLES"/>
    <x v="1"/>
    <x v="45"/>
    <x v="0"/>
    <d v="2025-06-19T00:00:00"/>
    <n v="142.44109589041096"/>
  </r>
  <r>
    <s v="ETA 25/04"/>
    <s v="INVOICE 804400"/>
    <x v="64"/>
    <x v="3"/>
    <x v="138"/>
    <n v="256"/>
    <n v="76800"/>
    <n v="0"/>
    <n v="76800"/>
    <s v="DOLARES"/>
    <x v="1"/>
    <x v="30"/>
    <x v="0"/>
    <d v="2025-06-25T00:00:00"/>
    <n v="76800"/>
  </r>
  <r>
    <s v="TASA 13.54%"/>
    <s v="CUOTA 15 DE 24"/>
    <x v="15"/>
    <x v="2"/>
    <x v="137"/>
    <n v="257"/>
    <n v="4280.91"/>
    <n v="0"/>
    <n v="4280.91"/>
    <s v="SOLES"/>
    <x v="1"/>
    <x v="15"/>
    <x v="0"/>
    <d v="2025-06-13T00:00:00"/>
    <n v="1172.8520547945204"/>
  </r>
  <r>
    <s v="ETA 16/06"/>
    <s v="NINGBO - HHN25077 - 02FLEXI"/>
    <x v="65"/>
    <x v="3"/>
    <x v="137"/>
    <n v="257"/>
    <n v="39155.199999999997"/>
    <n v="0"/>
    <n v="39155.199999999997"/>
    <s v="SOLES"/>
    <x v="1"/>
    <x v="42"/>
    <x v="0"/>
    <d v="2025-06-14T00:00:00"/>
    <n v="10727.452054794519"/>
  </r>
  <r>
    <m/>
    <s v="MAYO PERIODO"/>
    <x v="16"/>
    <x v="2"/>
    <x v="138"/>
    <n v="256"/>
    <n v="3600"/>
    <n v="0"/>
    <n v="3600"/>
    <s v="SOLES"/>
    <x v="1"/>
    <x v="1"/>
    <x v="0"/>
    <d v="2025-06-16T00:00:00"/>
    <n v="986.30136986301375"/>
  </r>
  <r>
    <m/>
    <s v="MAYO PERIODO"/>
    <x v="16"/>
    <x v="3"/>
    <x v="138"/>
    <n v="256"/>
    <n v="3750"/>
    <n v="0"/>
    <n v="3750"/>
    <s v="SOLES"/>
    <x v="1"/>
    <x v="1"/>
    <x v="0"/>
    <d v="2025-06-16T00:00:00"/>
    <n v="1027.3972602739727"/>
  </r>
  <r>
    <s v="TASA 15%"/>
    <s v="CUOTA 24 DE 24"/>
    <x v="17"/>
    <x v="1"/>
    <x v="139"/>
    <n v="255"/>
    <n v="9742.6299999999992"/>
    <n v="0"/>
    <n v="9742.6299999999992"/>
    <s v="SOLES"/>
    <x v="1"/>
    <x v="15"/>
    <x v="0"/>
    <d v="2025-06-15T00:00:00"/>
    <n v="2669.2136986301366"/>
  </r>
  <r>
    <m/>
    <m/>
    <x v="19"/>
    <x v="3"/>
    <x v="139"/>
    <n v="255"/>
    <n v="55000"/>
    <n v="1650"/>
    <n v="53350"/>
    <s v="SOLES"/>
    <x v="1"/>
    <x v="17"/>
    <x v="0"/>
    <d v="2025-06-16T00:00:00"/>
    <n v="14616.438356164384"/>
  </r>
  <r>
    <m/>
    <s v="CUOTA 3 DE 09"/>
    <x v="55"/>
    <x v="2"/>
    <x v="140"/>
    <n v="254"/>
    <n v="784"/>
    <n v="0"/>
    <n v="784"/>
    <s v="SOLES"/>
    <x v="1"/>
    <x v="1"/>
    <x v="0"/>
    <d v="2025-06-16T00:00:00"/>
    <n v="214.79452054794521"/>
  </r>
  <r>
    <m/>
    <s v="CUOTA 3 DE 09"/>
    <x v="55"/>
    <x v="3"/>
    <x v="141"/>
    <n v="253"/>
    <n v="3930"/>
    <n v="0"/>
    <n v="3930"/>
    <s v="SOLES"/>
    <x v="1"/>
    <x v="1"/>
    <x v="0"/>
    <d v="2025-06-17T00:00:00"/>
    <n v="1076.7123287671234"/>
  </r>
  <r>
    <m/>
    <s v="MAYO PERIODO"/>
    <x v="16"/>
    <x v="1"/>
    <x v="142"/>
    <n v="252"/>
    <n v="2995"/>
    <n v="0"/>
    <n v="2995"/>
    <s v="SOLES"/>
    <x v="1"/>
    <x v="1"/>
    <x v="0"/>
    <d v="2025-06-18T00:00:00"/>
    <n v="820.54794520547944"/>
  </r>
  <r>
    <m/>
    <s v="MAYO PERIODO"/>
    <x v="21"/>
    <x v="3"/>
    <x v="142"/>
    <n v="252"/>
    <n v="1491"/>
    <n v="0"/>
    <n v="1491"/>
    <s v="SOLES"/>
    <x v="1"/>
    <x v="1"/>
    <x v="0"/>
    <d v="2025-06-17T00:00:00"/>
    <n v="408.49315068493149"/>
  </r>
  <r>
    <n v="922500947"/>
    <s v="LT 675"/>
    <x v="38"/>
    <x v="2"/>
    <x v="143"/>
    <n v="251"/>
    <n v="6740.16"/>
    <n v="0"/>
    <n v="6740.16"/>
    <s v="DOLARES"/>
    <x v="2"/>
    <x v="28"/>
    <x v="0"/>
    <d v="2025-06-19T00:00:00"/>
    <n v="6740.16"/>
  </r>
  <r>
    <n v="10137562"/>
    <s v="LT 1798"/>
    <x v="66"/>
    <x v="3"/>
    <x v="143"/>
    <n v="251"/>
    <n v="11104.34"/>
    <n v="0"/>
    <n v="11104.34"/>
    <s v="SOLES"/>
    <x v="4"/>
    <x v="19"/>
    <x v="0"/>
    <d v="2025-06-19T00:00:00"/>
    <n v="3042.2849315068493"/>
  </r>
  <r>
    <m/>
    <s v="2749963 SUMINISTRO"/>
    <x v="9"/>
    <x v="2"/>
    <x v="143"/>
    <n v="251"/>
    <n v="10105.5"/>
    <n v="0"/>
    <n v="10105.5"/>
    <s v="SOLES"/>
    <x v="1"/>
    <x v="27"/>
    <x v="0"/>
    <d v="2025-06-20T00:00:00"/>
    <n v="2768.6301369863013"/>
  </r>
  <r>
    <m/>
    <s v="CUOTA 03 DE 09"/>
    <x v="55"/>
    <x v="1"/>
    <x v="144"/>
    <n v="250"/>
    <n v="995"/>
    <n v="0"/>
    <n v="995"/>
    <s v="SOLES"/>
    <x v="1"/>
    <x v="1"/>
    <x v="0"/>
    <d v="2025-06-20T00:00:00"/>
    <n v="272.60273972602738"/>
  </r>
  <r>
    <m/>
    <s v="FACT E001-117"/>
    <x v="50"/>
    <x v="2"/>
    <x v="145"/>
    <n v="249"/>
    <n v="3720"/>
    <n v="0"/>
    <n v="3720"/>
    <s v="SOLES"/>
    <x v="1"/>
    <x v="47"/>
    <x v="0"/>
    <d v="2025-08-09T00:00:00"/>
    <n v="1019.1780821917808"/>
  </r>
  <r>
    <s v="CRED 113,099"/>
    <s v="CUOTA 22 DE 24"/>
    <x v="27"/>
    <x v="3"/>
    <x v="146"/>
    <n v="247"/>
    <n v="5387.89"/>
    <m/>
    <n v="5387.89"/>
    <s v="SOLES"/>
    <x v="2"/>
    <x v="15"/>
    <x v="0"/>
    <d v="2025-06-23T00:00:00"/>
    <n v="1476.1342465753426"/>
  </r>
  <r>
    <m/>
    <m/>
    <x v="24"/>
    <x v="3"/>
    <x v="146"/>
    <n v="247"/>
    <n v="9185"/>
    <n v="0"/>
    <n v="9185"/>
    <s v="SOLES"/>
    <x v="1"/>
    <x v="1"/>
    <x v="0"/>
    <d v="2025-06-24T00:00:00"/>
    <n v="2516.4383561643835"/>
  </r>
  <r>
    <s v="705_5514_3"/>
    <s v="LT 115"/>
    <x v="2"/>
    <x v="2"/>
    <x v="147"/>
    <n v="246"/>
    <n v="1020"/>
    <n v="0"/>
    <n v="1020"/>
    <s v="SOLES"/>
    <x v="1"/>
    <x v="5"/>
    <x v="0"/>
    <d v="2025-06-24T00:00:00"/>
    <n v="279.45205479452056"/>
  </r>
  <r>
    <m/>
    <s v="CUOTA 13 DE 33"/>
    <x v="29"/>
    <x v="1"/>
    <x v="147"/>
    <n v="246"/>
    <n v="11778.16"/>
    <n v="0"/>
    <n v="11778.16"/>
    <s v="SOLES"/>
    <x v="2"/>
    <x v="15"/>
    <x v="0"/>
    <d v="2025-06-24T00:00:00"/>
    <n v="3226.8931506849317"/>
  </r>
  <r>
    <m/>
    <s v="MAYO PERIODO"/>
    <x v="24"/>
    <x v="1"/>
    <x v="148"/>
    <n v="245"/>
    <n v="1816"/>
    <n v="0"/>
    <n v="1816"/>
    <s v="SOLES"/>
    <x v="1"/>
    <x v="1"/>
    <x v="0"/>
    <d v="2025-06-26T00:00:00"/>
    <n v="497.53424657534248"/>
  </r>
  <r>
    <m/>
    <m/>
    <x v="31"/>
    <x v="0"/>
    <x v="148"/>
    <n v="245"/>
    <n v="80000"/>
    <n v="0"/>
    <n v="80000"/>
    <s v="SOLES"/>
    <x v="0"/>
    <x v="21"/>
    <x v="0"/>
    <d v="2025-06-25T00:00:00"/>
    <n v="21917.808219178081"/>
  </r>
  <r>
    <s v="ETA 20/05"/>
    <s v="FACT 25L134"/>
    <x v="57"/>
    <x v="3"/>
    <x v="148"/>
    <n v="245"/>
    <n v="54832"/>
    <n v="0"/>
    <n v="54832"/>
    <s v="DOLARES"/>
    <x v="1"/>
    <x v="25"/>
    <x v="0"/>
    <d v="2025-07-15T00:00:00"/>
    <n v="54832"/>
  </r>
  <r>
    <s v="ETA 24/06"/>
    <s v="JIA XING INVOICE XJISD25001"/>
    <x v="65"/>
    <x v="2"/>
    <x v="149"/>
    <n v="243"/>
    <n v="22023"/>
    <n v="0"/>
    <n v="22023"/>
    <s v="SOLES"/>
    <x v="1"/>
    <x v="24"/>
    <x v="0"/>
    <d v="2025-06-30T00:00:00"/>
    <n v="6033.6986301369861"/>
  </r>
  <r>
    <s v="ETA 30/06"/>
    <s v="EVERLITE / ELK250514-5K / 3FCL"/>
    <x v="65"/>
    <x v="2"/>
    <x v="149"/>
    <n v="243"/>
    <n v="80821"/>
    <n v="0"/>
    <n v="80821"/>
    <s v="SOLES"/>
    <x v="1"/>
    <x v="51"/>
    <x v="0"/>
    <d v="2025-06-27T00:00:00"/>
    <n v="22142.739726027397"/>
  </r>
  <r>
    <s v="FACT F001-11169"/>
    <s v="FACT F001-11169"/>
    <x v="6"/>
    <x v="2"/>
    <x v="149"/>
    <n v="243"/>
    <n v="4824"/>
    <n v="0"/>
    <n v="4824"/>
    <s v="SOLES"/>
    <x v="1"/>
    <x v="7"/>
    <x v="0"/>
    <d v="2025-07-15T00:00:00"/>
    <n v="1321.6438356164383"/>
  </r>
  <r>
    <s v="705_9337_3"/>
    <s v="FACT F001-80516"/>
    <x v="11"/>
    <x v="3"/>
    <x v="150"/>
    <n v="242"/>
    <n v="7906"/>
    <n v="0"/>
    <n v="7906"/>
    <s v="DOLARES"/>
    <x v="1"/>
    <x v="11"/>
    <x v="0"/>
    <d v="2025-06-28T00:00:00"/>
    <n v="7906"/>
  </r>
  <r>
    <s v="_x000a_703_6376_4"/>
    <s v="LT 112"/>
    <x v="2"/>
    <x v="3"/>
    <x v="150"/>
    <n v="242"/>
    <n v="4308.2700000000004"/>
    <n v="0"/>
    <n v="4308.2700000000004"/>
    <s v="SOLES"/>
    <x v="1"/>
    <x v="5"/>
    <x v="0"/>
    <d v="2025-06-28T00:00:00"/>
    <n v="1180.3479452054796"/>
  </r>
  <r>
    <s v="_x000a_704_4839_8"/>
    <s v="LT 09141-11-00"/>
    <x v="23"/>
    <x v="2"/>
    <x v="151"/>
    <n v="241"/>
    <n v="1619.17"/>
    <n v="0"/>
    <n v="1619.17"/>
    <s v="DOLARES"/>
    <x v="1"/>
    <x v="19"/>
    <x v="0"/>
    <d v="2025-06-28T00:00:00"/>
    <n v="1619.17"/>
  </r>
  <r>
    <s v=".-0992500155"/>
    <s v="LT 0000669"/>
    <x v="38"/>
    <x v="1"/>
    <x v="151"/>
    <n v="241"/>
    <n v="2926"/>
    <n v="0"/>
    <n v="2926"/>
    <s v="DOLARES"/>
    <x v="2"/>
    <x v="26"/>
    <x v="0"/>
    <d v="2025-06-28T00:00:00"/>
    <n v="2926"/>
  </r>
  <r>
    <s v=".-1262501088"/>
    <s v="LT 676"/>
    <x v="38"/>
    <x v="1"/>
    <x v="151"/>
    <n v="241"/>
    <n v="3420"/>
    <n v="0"/>
    <n v="3420"/>
    <s v="DOLARES"/>
    <x v="2"/>
    <x v="26"/>
    <x v="0"/>
    <d v="2025-06-28T00:00:00"/>
    <n v="3420"/>
  </r>
  <r>
    <n v="10131721"/>
    <s v="LT 7241"/>
    <x v="18"/>
    <x v="2"/>
    <x v="151"/>
    <n v="241"/>
    <n v="19977.64"/>
    <n v="0"/>
    <n v="19977.64"/>
    <s v="DOLARES"/>
    <x v="4"/>
    <x v="25"/>
    <x v="0"/>
    <d v="2025-06-27T00:00:00"/>
    <n v="19977.64"/>
  </r>
  <r>
    <m/>
    <s v="AGOSTO PERIODO 2024"/>
    <x v="1"/>
    <x v="2"/>
    <x v="99"/>
    <n v="240"/>
    <n v="13750"/>
    <n v="0"/>
    <n v="13750"/>
    <s v="SOLES"/>
    <x v="1"/>
    <x v="1"/>
    <x v="0"/>
    <d v="2025-06-28T00:00:00"/>
    <n v="3767.1232876712329"/>
  </r>
  <r>
    <s v="TASA 8.9%"/>
    <s v="CUOTA 61 DE 114"/>
    <x v="33"/>
    <x v="3"/>
    <x v="99"/>
    <n v="240"/>
    <n v="25096.69"/>
    <n v="0"/>
    <n v="25096.69"/>
    <s v="SOLES"/>
    <x v="1"/>
    <x v="15"/>
    <x v="0"/>
    <d v="2025-06-30T00:00:00"/>
    <n v="6875.8054794520549"/>
  </r>
  <r>
    <s v="TASA 15%"/>
    <s v="CUOTA 21 DE 24"/>
    <x v="36"/>
    <x v="1"/>
    <x v="99"/>
    <n v="240"/>
    <n v="6174.34"/>
    <m/>
    <n v="6174.34"/>
    <s v="SOLES"/>
    <x v="1"/>
    <x v="15"/>
    <x v="0"/>
    <d v="2025-06-28T00:00:00"/>
    <n v="1691.6000000000001"/>
  </r>
  <r>
    <m/>
    <m/>
    <x v="19"/>
    <x v="3"/>
    <x v="99"/>
    <n v="240"/>
    <n v="55000"/>
    <n v="1650"/>
    <n v="53350"/>
    <s v="SOLES"/>
    <x v="1"/>
    <x v="17"/>
    <x v="0"/>
    <d v="2025-07-01T00:00:00"/>
    <n v="14616.438356164384"/>
  </r>
  <r>
    <s v="..0652500306"/>
    <s v="LT 4904"/>
    <x v="49"/>
    <x v="3"/>
    <x v="99"/>
    <n v="240"/>
    <n v="0"/>
    <n v="0"/>
    <n v="140986.01"/>
    <s v="SOLES"/>
    <x v="2"/>
    <x v="52"/>
    <x v="0"/>
    <d v="2025-07-02T00:00:00"/>
    <n v="38626.304109589044"/>
  </r>
  <r>
    <s v="TASA 15%"/>
    <s v="CUOTA 06 DE 24"/>
    <x v="35"/>
    <x v="1"/>
    <x v="99"/>
    <n v="240"/>
    <n v="9768.16"/>
    <n v="0"/>
    <n v="9768.16"/>
    <s v="SOLES"/>
    <x v="1"/>
    <x v="15"/>
    <x v="0"/>
    <d v="2025-06-28T00:00:00"/>
    <n v="2676.2082191780823"/>
  </r>
  <r>
    <s v="RIMAC BML739"/>
    <s v="CUOTA 05 DE 06"/>
    <x v="46"/>
    <x v="1"/>
    <x v="152"/>
    <n v="239"/>
    <n v="203"/>
    <n v="0"/>
    <n v="203"/>
    <s v="DOLARES"/>
    <x v="1"/>
    <x v="40"/>
    <x v="0"/>
    <d v="2025-07-02T00:00:00"/>
    <n v="203"/>
  </r>
  <r>
    <s v="TASA 9%"/>
    <s v="IMPT 50k"/>
    <x v="28"/>
    <x v="3"/>
    <x v="152"/>
    <n v="239"/>
    <n v="51088.91"/>
    <n v="0"/>
    <n v="51088.91"/>
    <s v="DOLARES"/>
    <x v="1"/>
    <x v="53"/>
    <x v="0"/>
    <d v="2025-07-01T00:00:00"/>
    <n v="51088.91"/>
  </r>
  <r>
    <m/>
    <s v="FACT F002-171301"/>
    <x v="52"/>
    <x v="3"/>
    <x v="153"/>
    <n v="238"/>
    <n v="126.26"/>
    <n v="0"/>
    <n v="126.26"/>
    <s v="SOLES"/>
    <x v="1"/>
    <x v="45"/>
    <x v="0"/>
    <d v="2025-07-03T00:00:00"/>
    <n v="34.591780821917808"/>
  </r>
  <r>
    <n v="1182500295"/>
    <s v="LT 005289"/>
    <x v="13"/>
    <x v="3"/>
    <x v="154"/>
    <n v="237"/>
    <n v="3100"/>
    <n v="0"/>
    <n v="3100"/>
    <s v="SOLES"/>
    <x v="2"/>
    <x v="12"/>
    <x v="0"/>
    <d v="2025-07-03T00:00:00"/>
    <n v="849.31506849315076"/>
  </r>
  <r>
    <n v="1182500003"/>
    <s v="LT 00678"/>
    <x v="38"/>
    <x v="1"/>
    <x v="154"/>
    <n v="237"/>
    <n v="6080"/>
    <n v="0"/>
    <n v="6080"/>
    <s v="DOLARES"/>
    <x v="2"/>
    <x v="12"/>
    <x v="0"/>
    <d v="2025-07-03T00:00:00"/>
    <n v="6080"/>
  </r>
  <r>
    <s v="703_6376_5"/>
    <s v="LT 113"/>
    <x v="2"/>
    <x v="2"/>
    <x v="155"/>
    <n v="236"/>
    <n v="4661"/>
    <n v="0"/>
    <n v="4661"/>
    <s v="SOLES"/>
    <x v="1"/>
    <x v="5"/>
    <x v="0"/>
    <d v="2025-07-04T00:00:00"/>
    <n v="1276.986301369863"/>
  </r>
  <r>
    <m/>
    <s v="SALDO 60% / ETA 29/07"/>
    <x v="59"/>
    <x v="2"/>
    <x v="155"/>
    <n v="236"/>
    <n v="21077.200000000001"/>
    <n v="0"/>
    <n v="21077.200000000001"/>
    <s v="DOLARES"/>
    <x v="1"/>
    <x v="32"/>
    <x v="0"/>
    <d v="2025-07-14T00:00:00"/>
    <n v="21077.200000000001"/>
  </r>
  <r>
    <m/>
    <m/>
    <x v="53"/>
    <x v="3"/>
    <x v="156"/>
    <n v="235"/>
    <n v="284.37"/>
    <n v="0"/>
    <n v="284.37"/>
    <s v="SOLES"/>
    <x v="1"/>
    <x v="36"/>
    <x v="0"/>
    <d v="2025-07-05T00:00:00"/>
    <n v="77.909589041095899"/>
  </r>
  <r>
    <m/>
    <m/>
    <x v="48"/>
    <x v="3"/>
    <x v="156"/>
    <n v="235"/>
    <n v="90"/>
    <n v="0"/>
    <n v="90"/>
    <s v="SOLES"/>
    <x v="1"/>
    <x v="41"/>
    <x v="0"/>
    <d v="2025-07-05T00:00:00"/>
    <n v="24.657534246575342"/>
  </r>
  <r>
    <m/>
    <m/>
    <x v="5"/>
    <x v="2"/>
    <x v="156"/>
    <n v="235"/>
    <n v="103.1"/>
    <n v="0"/>
    <n v="103.1"/>
    <s v="SOLES"/>
    <x v="1"/>
    <x v="6"/>
    <x v="0"/>
    <d v="2025-07-05T00:00:00"/>
    <n v="28.246575342465754"/>
  </r>
  <r>
    <m/>
    <m/>
    <x v="7"/>
    <x v="3"/>
    <x v="157"/>
    <n v="233"/>
    <n v="2065"/>
    <n v="0"/>
    <n v="2065"/>
    <s v="SOLES"/>
    <x v="1"/>
    <x v="8"/>
    <x v="0"/>
    <d v="2025-07-07T00:00:00"/>
    <n v="565.75342465753431"/>
  </r>
  <r>
    <m/>
    <m/>
    <x v="7"/>
    <x v="2"/>
    <x v="157"/>
    <n v="233"/>
    <n v="2275"/>
    <n v="0"/>
    <n v="2275"/>
    <s v="SOLES"/>
    <x v="1"/>
    <x v="8"/>
    <x v="0"/>
    <d v="2025-07-07T00:00:00"/>
    <n v="623.28767123287673"/>
  </r>
  <r>
    <m/>
    <m/>
    <x v="7"/>
    <x v="1"/>
    <x v="157"/>
    <n v="233"/>
    <n v="280"/>
    <n v="0"/>
    <n v="280"/>
    <s v="SOLES"/>
    <x v="1"/>
    <x v="8"/>
    <x v="0"/>
    <d v="2025-07-07T00:00:00"/>
    <n v="76.712328767123296"/>
  </r>
  <r>
    <m/>
    <s v="JUNIO PERIODO"/>
    <x v="8"/>
    <x v="2"/>
    <x v="157"/>
    <n v="233"/>
    <n v="2510"/>
    <n v="0"/>
    <n v="2510"/>
    <s v="SOLES"/>
    <x v="1"/>
    <x v="1"/>
    <x v="0"/>
    <d v="2025-07-07T00:00:00"/>
    <n v="687.67123287671234"/>
  </r>
  <r>
    <m/>
    <s v="JUNIO PERIODO"/>
    <x v="8"/>
    <x v="3"/>
    <x v="157"/>
    <n v="233"/>
    <n v="1290"/>
    <n v="0"/>
    <n v="1290"/>
    <s v="SOLES"/>
    <x v="1"/>
    <x v="1"/>
    <x v="0"/>
    <d v="2025-07-07T00:00:00"/>
    <n v="353.42465753424659"/>
  </r>
  <r>
    <m/>
    <s v="JUNIO PERIODO"/>
    <x v="8"/>
    <x v="1"/>
    <x v="157"/>
    <n v="233"/>
    <n v="1020"/>
    <n v="0"/>
    <n v="1020"/>
    <s v="SOLES"/>
    <x v="1"/>
    <x v="1"/>
    <x v="0"/>
    <d v="2025-07-08T00:00:00"/>
    <n v="279.45205479452056"/>
  </r>
  <r>
    <s v="703_6376_6"/>
    <s v="LT 114"/>
    <x v="2"/>
    <x v="2"/>
    <x v="158"/>
    <n v="232"/>
    <n v="7903.64"/>
    <n v="0"/>
    <n v="7903.64"/>
    <s v="SOLES"/>
    <x v="1"/>
    <x v="5"/>
    <x v="0"/>
    <d v="2025-07-08T00:00:00"/>
    <n v="2165.3808219178081"/>
  </r>
  <r>
    <m/>
    <s v="0883909 SUMNISTRO"/>
    <x v="9"/>
    <x v="3"/>
    <x v="158"/>
    <n v="232"/>
    <n v="1967.5"/>
    <n v="0"/>
    <n v="1967.5"/>
    <s v="SOLES"/>
    <x v="1"/>
    <x v="27"/>
    <x v="0"/>
    <d v="2025-07-08T00:00:00"/>
    <n v="539.04109589041093"/>
  </r>
  <r>
    <m/>
    <s v="1975640 SUMINISTRO"/>
    <x v="9"/>
    <x v="3"/>
    <x v="158"/>
    <n v="232"/>
    <n v="151.5"/>
    <n v="0"/>
    <n v="151.5"/>
    <s v="SOLES"/>
    <x v="1"/>
    <x v="27"/>
    <x v="0"/>
    <d v="2025-07-08T00:00:00"/>
    <n v="41.506849315068493"/>
  </r>
  <r>
    <m/>
    <s v="TERRENO NUEVO"/>
    <x v="9"/>
    <x v="0"/>
    <x v="158"/>
    <n v="232"/>
    <n v="227.5"/>
    <n v="0"/>
    <n v="227.5"/>
    <s v="SOLES"/>
    <x v="0"/>
    <x v="27"/>
    <x v="0"/>
    <d v="2025-07-08T00:00:00"/>
    <n v="62.328767123287676"/>
  </r>
  <r>
    <m/>
    <m/>
    <x v="10"/>
    <x v="3"/>
    <x v="158"/>
    <n v="232"/>
    <n v="25000"/>
    <n v="0"/>
    <n v="25000"/>
    <s v="SOLES"/>
    <x v="1"/>
    <x v="10"/>
    <x v="0"/>
    <d v="2025-07-12T00:00:00"/>
    <n v="6849.3150684931506"/>
  </r>
  <r>
    <n v="10131726"/>
    <s v="LT 7196"/>
    <x v="18"/>
    <x v="2"/>
    <x v="159"/>
    <n v="231"/>
    <n v="4242.1000000000004"/>
    <n v="0"/>
    <n v="4242.1000000000004"/>
    <s v="DOLARES"/>
    <x v="4"/>
    <x v="16"/>
    <x v="0"/>
    <d v="2025-07-10T00:00:00"/>
    <n v="4242.1000000000004"/>
  </r>
  <r>
    <s v="705_7255_3"/>
    <s v="LT 2025-032"/>
    <x v="44"/>
    <x v="2"/>
    <x v="160"/>
    <n v="229"/>
    <n v="913.32"/>
    <n v="0"/>
    <n v="913.32"/>
    <s v="DOLARES"/>
    <x v="1"/>
    <x v="38"/>
    <x v="0"/>
    <d v="2025-07-11T00:00:00"/>
    <n v="913.32"/>
  </r>
  <r>
    <s v="ETA 06/06"/>
    <s v="INVOICE FT 0062025-0174"/>
    <x v="25"/>
    <x v="1"/>
    <x v="160"/>
    <n v="229"/>
    <n v="45080.28"/>
    <n v="0"/>
    <n v="45080.28"/>
    <s v="DOLARES"/>
    <x v="1"/>
    <x v="14"/>
    <x v="0"/>
    <d v="2025-07-31T00:00:00"/>
    <n v="45080.28"/>
  </r>
  <r>
    <s v="ETA 06/06"/>
    <s v="INVOICE FT 0062025-0010"/>
    <x v="26"/>
    <x v="3"/>
    <x v="160"/>
    <n v="229"/>
    <n v="22814.26"/>
    <n v="0"/>
    <n v="22814.26"/>
    <s v="DOLARES"/>
    <x v="1"/>
    <x v="14"/>
    <x v="0"/>
    <d v="2025-07-31T00:00:00"/>
    <n v="22814.26"/>
  </r>
  <r>
    <m/>
    <s v="JUNIO PERIODO"/>
    <x v="16"/>
    <x v="2"/>
    <x v="161"/>
    <n v="228"/>
    <n v="3580"/>
    <n v="0"/>
    <n v="3580"/>
    <s v="SOLES"/>
    <x v="1"/>
    <x v="17"/>
    <x v="0"/>
    <d v="2025-07-12T00:00:00"/>
    <n v="980.82191780821915"/>
  </r>
  <r>
    <m/>
    <s v="FACT E001-153"/>
    <x v="41"/>
    <x v="2"/>
    <x v="161"/>
    <n v="228"/>
    <n v="2998.38"/>
    <n v="0"/>
    <n v="2998.38"/>
    <s v="SOLES"/>
    <x v="1"/>
    <x v="35"/>
    <x v="0"/>
    <d v="2025-08-07T00:00:00"/>
    <n v="821.47397260273976"/>
  </r>
  <r>
    <m/>
    <s v="FACT F002-172326"/>
    <x v="52"/>
    <x v="3"/>
    <x v="162"/>
    <n v="227"/>
    <n v="519.91"/>
    <n v="0"/>
    <n v="519.91"/>
    <s v="SOLES"/>
    <x v="2"/>
    <x v="45"/>
    <x v="0"/>
    <d v="2025-07-19T00:00:00"/>
    <n v="142.44109589041096"/>
  </r>
  <r>
    <s v="TASA 13.54%"/>
    <s v="CUOTA 16 DE 24"/>
    <x v="15"/>
    <x v="2"/>
    <x v="162"/>
    <n v="227"/>
    <n v="4280.91"/>
    <n v="0"/>
    <n v="4280.91"/>
    <s v="SOLES"/>
    <x v="1"/>
    <x v="15"/>
    <x v="0"/>
    <d v="2025-07-14T00:00:00"/>
    <n v="1172.8520547945204"/>
  </r>
  <r>
    <s v="TASA 7.2%"/>
    <s v="CUOTA 7 DE 180"/>
    <x v="54"/>
    <x v="0"/>
    <x v="163"/>
    <n v="226"/>
    <n v="30099.17"/>
    <n v="0"/>
    <n v="30099.17"/>
    <s v="SOLES"/>
    <x v="2"/>
    <x v="15"/>
    <x v="0"/>
    <d v="2025-07-14T00:00:00"/>
    <n v="8246.3479452054798"/>
  </r>
  <r>
    <m/>
    <s v="6241635 SUMINISTRO"/>
    <x v="5"/>
    <x v="4"/>
    <x v="163"/>
    <n v="226"/>
    <n v="2126.1"/>
    <n v="0"/>
    <n v="2126.1"/>
    <s v="SOLES"/>
    <x v="1"/>
    <x v="6"/>
    <x v="0"/>
    <d v="2025-07-14T00:00:00"/>
    <n v="582.49315068493149"/>
  </r>
  <r>
    <m/>
    <s v="JUNIO PERIODO"/>
    <x v="16"/>
    <x v="3"/>
    <x v="163"/>
    <n v="226"/>
    <n v="3750"/>
    <n v="0"/>
    <n v="3750"/>
    <s v="SOLES"/>
    <x v="1"/>
    <x v="1"/>
    <x v="0"/>
    <d v="2025-07-14T00:00:00"/>
    <n v="1027.3972602739727"/>
  </r>
  <r>
    <m/>
    <s v="JUNIO PERIODO"/>
    <x v="20"/>
    <x v="0"/>
    <x v="163"/>
    <n v="226"/>
    <n v="2625"/>
    <n v="0"/>
    <n v="2625"/>
    <s v="SOLES"/>
    <x v="1"/>
    <x v="1"/>
    <x v="0"/>
    <d v="2025-07-17T00:00:00"/>
    <n v="719.17808219178085"/>
  </r>
  <r>
    <m/>
    <s v="CUOTA 4 DE 09"/>
    <x v="55"/>
    <x v="2"/>
    <x v="164"/>
    <n v="225"/>
    <n v="784"/>
    <n v="0"/>
    <n v="784"/>
    <s v="SOLES"/>
    <x v="1"/>
    <x v="1"/>
    <x v="0"/>
    <d v="2025-07-15T00:00:00"/>
    <n v="214.79452054794521"/>
  </r>
  <r>
    <m/>
    <m/>
    <x v="67"/>
    <x v="3"/>
    <x v="164"/>
    <n v="225"/>
    <n v="75000"/>
    <n v="0"/>
    <n v="75000"/>
    <s v="SOLES"/>
    <x v="1"/>
    <x v="17"/>
    <x v="0"/>
    <d v="2025-07-15T00:00:00"/>
    <n v="20547.945205479453"/>
  </r>
  <r>
    <m/>
    <m/>
    <x v="19"/>
    <x v="3"/>
    <x v="164"/>
    <n v="225"/>
    <n v="60000"/>
    <n v="0"/>
    <n v="60000"/>
    <s v="SOLES"/>
    <x v="1"/>
    <x v="17"/>
    <x v="0"/>
    <d v="2025-07-15T00:00:00"/>
    <n v="16438.356164383564"/>
  </r>
  <r>
    <m/>
    <s v="FACT E001-419"/>
    <x v="30"/>
    <x v="3"/>
    <x v="163"/>
    <n v="226"/>
    <n v="500"/>
    <n v="0"/>
    <n v="500"/>
    <s v="SOLES"/>
    <x v="1"/>
    <x v="20"/>
    <x v="0"/>
    <d v="2025-07-25T00:00:00"/>
    <n v="136.98630136986301"/>
  </r>
  <r>
    <m/>
    <s v="CUOTA 4 DE 09"/>
    <x v="55"/>
    <x v="3"/>
    <x v="165"/>
    <n v="224"/>
    <n v="3930"/>
    <n v="0"/>
    <n v="3930"/>
    <s v="SOLES"/>
    <x v="1"/>
    <x v="1"/>
    <x v="0"/>
    <d v="2025-07-16T00:00:00"/>
    <n v="1076.7123287671234"/>
  </r>
  <r>
    <m/>
    <s v="FACT F001-292"/>
    <x v="39"/>
    <x v="2"/>
    <x v="165"/>
    <n v="224"/>
    <n v="472"/>
    <n v="0"/>
    <n v="472"/>
    <s v="DOLARES"/>
    <x v="1"/>
    <x v="34"/>
    <x v="0"/>
    <d v="2025-08-05T00:00:00"/>
    <n v="472"/>
  </r>
  <r>
    <m/>
    <m/>
    <x v="21"/>
    <x v="3"/>
    <x v="165"/>
    <n v="224"/>
    <n v="273"/>
    <n v="0"/>
    <n v="273"/>
    <s v="SOLES"/>
    <x v="1"/>
    <x v="1"/>
    <x v="0"/>
    <d v="2025-07-16T00:00:00"/>
    <n v="74.794520547945211"/>
  </r>
  <r>
    <m/>
    <s v="JUNIO PERIODO"/>
    <x v="16"/>
    <x v="1"/>
    <x v="166"/>
    <n v="221"/>
    <n v="2995"/>
    <n v="0"/>
    <n v="2995"/>
    <s v="SOLES"/>
    <x v="1"/>
    <x v="1"/>
    <x v="0"/>
    <d v="2025-07-19T00:00:00"/>
    <n v="820.54794520547944"/>
  </r>
  <r>
    <m/>
    <s v="2749963 SUMINISTRO"/>
    <x v="9"/>
    <x v="2"/>
    <x v="166"/>
    <n v="221"/>
    <n v="9960.5"/>
    <n v="0"/>
    <n v="9960.5"/>
    <s v="SOLES"/>
    <x v="1"/>
    <x v="27"/>
    <x v="0"/>
    <d v="2025-07-19T00:00:00"/>
    <n v="2728.9041095890411"/>
  </r>
  <r>
    <m/>
    <s v="CUOTA 04 DE 09"/>
    <x v="55"/>
    <x v="1"/>
    <x v="167"/>
    <n v="220"/>
    <n v="995"/>
    <n v="0"/>
    <n v="995"/>
    <s v="SOLES"/>
    <x v="1"/>
    <x v="1"/>
    <x v="0"/>
    <d v="2025-07-19T00:00:00"/>
    <n v="272.60273972602738"/>
  </r>
  <r>
    <n v="1182500005"/>
    <s v="LT 677"/>
    <x v="38"/>
    <x v="2"/>
    <x v="167"/>
    <n v="220"/>
    <n v="8425.2000000000007"/>
    <n v="0"/>
    <n v="8425.2000000000007"/>
    <s v="DOLARES"/>
    <x v="2"/>
    <x v="28"/>
    <x v="0"/>
    <d v="2025-07-19T00:00:00"/>
    <n v="8425.2000000000007"/>
  </r>
  <r>
    <n v="1262501087"/>
    <s v="LT 686"/>
    <x v="38"/>
    <x v="1"/>
    <x v="167"/>
    <n v="220"/>
    <n v="228"/>
    <n v="0"/>
    <n v="228"/>
    <s v="DOLARES"/>
    <x v="2"/>
    <x v="26"/>
    <x v="0"/>
    <d v="2025-07-19T00:00:00"/>
    <n v="228"/>
  </r>
  <r>
    <s v="709_8687_7"/>
    <s v="LT 1425"/>
    <x v="22"/>
    <x v="2"/>
    <x v="168"/>
    <n v="219"/>
    <n v="1026.5999999999999"/>
    <n v="0"/>
    <n v="1026.5999999999999"/>
    <s v="DOLARES"/>
    <x v="1"/>
    <x v="18"/>
    <x v="0"/>
    <d v="2025-07-21T00:00:00"/>
    <n v="1026.5999999999999"/>
  </r>
  <r>
    <s v="ETA 21/07"/>
    <s v="NORBRIGHT / 25L177 - 02 FLEXI"/>
    <x v="65"/>
    <x v="2"/>
    <x v="168"/>
    <n v="219"/>
    <n v="45841.3"/>
    <n v="0"/>
    <n v="45841.3"/>
    <s v="SOLES"/>
    <x v="1"/>
    <x v="42"/>
    <x v="0"/>
    <d v="2025-07-21T00:00:00"/>
    <n v="12559.260273972604"/>
  </r>
  <r>
    <m/>
    <m/>
    <x v="24"/>
    <x v="3"/>
    <x v="169"/>
    <n v="218"/>
    <n v="4407"/>
    <n v="0"/>
    <n v="4407"/>
    <s v="SOLES"/>
    <x v="1"/>
    <x v="1"/>
    <x v="0"/>
    <d v="2025-07-24T00:00:00"/>
    <n v="1207.3972602739727"/>
  </r>
  <r>
    <n v="1262501089"/>
    <s v="LT 673"/>
    <x v="38"/>
    <x v="1"/>
    <x v="169"/>
    <n v="218"/>
    <n v="30642.240000000002"/>
    <n v="0"/>
    <n v="30642.240000000002"/>
    <s v="DOLARES"/>
    <x v="2"/>
    <x v="14"/>
    <x v="0"/>
    <d v="2025-07-22T00:00:00"/>
    <n v="30642.240000000002"/>
  </r>
  <r>
    <n v="1292501160"/>
    <s v="LT 674"/>
    <x v="38"/>
    <x v="1"/>
    <x v="169"/>
    <n v="218"/>
    <n v="30772.51"/>
    <n v="0"/>
    <n v="30772.51"/>
    <s v="DOLARES"/>
    <x v="2"/>
    <x v="14"/>
    <x v="0"/>
    <d v="2025-07-22T00:00:00"/>
    <n v="30772.51"/>
  </r>
  <r>
    <s v="CRED 113,099"/>
    <s v="CUOTA 23 DE 24"/>
    <x v="27"/>
    <x v="3"/>
    <x v="170"/>
    <n v="217"/>
    <n v="5387.89"/>
    <n v="0"/>
    <n v="5387.89"/>
    <s v="SOLES"/>
    <x v="2"/>
    <x v="15"/>
    <x v="0"/>
    <d v="2025-07-24T00:00:00"/>
    <n v="1476.1342465753426"/>
  </r>
  <r>
    <s v="VENCE 25/07"/>
    <s v="D1Y-757"/>
    <x v="3"/>
    <x v="3"/>
    <x v="171"/>
    <n v="216"/>
    <n v="180"/>
    <n v="0"/>
    <n v="180"/>
    <s v="SOLES"/>
    <x v="1"/>
    <x v="3"/>
    <x v="0"/>
    <d v="2025-07-25T00:00:00"/>
    <n v="49.315068493150683"/>
  </r>
  <r>
    <s v=".-1552500668"/>
    <s v="LT 09265-11-00"/>
    <x v="23"/>
    <x v="2"/>
    <x v="171"/>
    <n v="216"/>
    <n v="7756.61"/>
    <n v="0"/>
    <n v="7756.61"/>
    <s v="DOLARES"/>
    <x v="2"/>
    <x v="19"/>
    <x v="0"/>
    <d v="2025-07-24T00:00:00"/>
    <n v="7756.61"/>
  </r>
  <r>
    <s v=".-1552500667"/>
    <s v="LT 09264-11-00"/>
    <x v="23"/>
    <x v="3"/>
    <x v="171"/>
    <n v="216"/>
    <n v="7833.76"/>
    <n v="0"/>
    <n v="7833.76"/>
    <s v="DOLARES"/>
    <x v="2"/>
    <x v="19"/>
    <x v="0"/>
    <d v="2025-07-25T00:00:00"/>
    <n v="7833.76"/>
  </r>
  <r>
    <m/>
    <s v="CUOTA 14 DE 33"/>
    <x v="29"/>
    <x v="1"/>
    <x v="171"/>
    <n v="216"/>
    <n v="11778.16"/>
    <n v="0"/>
    <n v="11778.16"/>
    <s v="SOLES"/>
    <x v="2"/>
    <x v="15"/>
    <x v="0"/>
    <d v="2025-07-24T00:00:00"/>
    <n v="3226.8931506849317"/>
  </r>
  <r>
    <m/>
    <s v="FACT E001-421"/>
    <x v="30"/>
    <x v="2"/>
    <x v="172"/>
    <n v="215"/>
    <n v="565"/>
    <n v="0"/>
    <n v="565"/>
    <s v="SOLES"/>
    <x v="1"/>
    <x v="20"/>
    <x v="0"/>
    <d v="2025-08-04T00:00:00"/>
    <n v="154.79452054794521"/>
  </r>
  <r>
    <s v="706_9446_6"/>
    <s v="LT 2025-034"/>
    <x v="44"/>
    <x v="2"/>
    <x v="173"/>
    <n v="213"/>
    <n v="824.96"/>
    <n v="0"/>
    <n v="824.96"/>
    <s v="DOLARES"/>
    <x v="1"/>
    <x v="38"/>
    <x v="0"/>
    <d v="2025-07-26T00:00:00"/>
    <n v="824.96"/>
  </r>
  <r>
    <s v="ETA 16/06"/>
    <s v="NINGBO - HHN25077 - 02FLEXI"/>
    <x v="68"/>
    <x v="3"/>
    <x v="173"/>
    <n v="213"/>
    <n v="51520"/>
    <n v="0"/>
    <n v="51520"/>
    <s v="DOLARES"/>
    <x v="1"/>
    <x v="25"/>
    <x v="0"/>
    <d v="2025-08-11T00:00:00"/>
    <n v="51520"/>
  </r>
  <r>
    <s v="TASA 8.9%"/>
    <s v="CUOTA 62 DE 114"/>
    <x v="33"/>
    <x v="3"/>
    <x v="174"/>
    <n v="210"/>
    <n v="24270.25"/>
    <n v="0"/>
    <n v="24270.25"/>
    <s v="SOLES"/>
    <x v="1"/>
    <x v="15"/>
    <x v="0"/>
    <d v="2025-07-30T00:00:00"/>
    <n v="6649.3835616438355"/>
  </r>
  <r>
    <s v="TASA 15%"/>
    <s v="CUOTA 22 DE 24"/>
    <x v="36"/>
    <x v="1"/>
    <x v="174"/>
    <n v="210"/>
    <n v="6174.34"/>
    <n v="0"/>
    <n v="6174.34"/>
    <s v="SOLES"/>
    <x v="1"/>
    <x v="15"/>
    <x v="0"/>
    <d v="2025-07-30T00:00:00"/>
    <n v="1691.6000000000001"/>
  </r>
  <r>
    <s v="TASA 15%"/>
    <s v="CUOTA 07 DE 24"/>
    <x v="35"/>
    <x v="1"/>
    <x v="174"/>
    <n v="210"/>
    <n v="9768.16"/>
    <n v="0"/>
    <n v="9768.16"/>
    <s v="SOLES"/>
    <x v="1"/>
    <x v="15"/>
    <x v="0"/>
    <d v="2025-07-30T00:00:00"/>
    <n v="2676.2082191780823"/>
  </r>
  <r>
    <s v="ag 24 / dic 24"/>
    <s v="AGOSTO PERIODO"/>
    <x v="1"/>
    <x v="1"/>
    <x v="100"/>
    <n v="209"/>
    <n v="26331"/>
    <n v="0"/>
    <n v="26331"/>
    <s v="SOLES"/>
    <x v="1"/>
    <x v="1"/>
    <x v="0"/>
    <d v="2025-08-18T00:00:00"/>
    <n v="7213.9726027397264"/>
  </r>
  <r>
    <s v=".-0992500601"/>
    <s v="LT 4979"/>
    <x v="49"/>
    <x v="2"/>
    <x v="100"/>
    <n v="209"/>
    <n v="154274.75"/>
    <n v="0"/>
    <n v="154274.75"/>
    <s v="SOLES"/>
    <x v="2"/>
    <x v="13"/>
    <x v="0"/>
    <d v="2025-07-31T00:00:00"/>
    <n v="42267.054794520547"/>
  </r>
  <r>
    <s v="ETA 31/07"/>
    <s v="PROV SHENZHEN"/>
    <x v="69"/>
    <x v="2"/>
    <x v="100"/>
    <n v="209"/>
    <n v="29000"/>
    <n v="0"/>
    <n v="29000"/>
    <s v="SOLES"/>
    <x v="1"/>
    <x v="4"/>
    <x v="0"/>
    <d v="2025-07-31T00:00:00"/>
    <n v="7945.2054794520554"/>
  </r>
  <r>
    <m/>
    <m/>
    <x v="19"/>
    <x v="3"/>
    <x v="100"/>
    <n v="209"/>
    <n v="55000"/>
    <n v="0"/>
    <n v="55000"/>
    <s v="SOLES"/>
    <x v="1"/>
    <x v="17"/>
    <x v="0"/>
    <d v="2025-08-01T00:00:00"/>
    <n v="15068.493150684932"/>
  </r>
  <r>
    <s v="RIMAC BML739"/>
    <s v="CUOTA 06 DE 06"/>
    <x v="46"/>
    <x v="1"/>
    <x v="175"/>
    <n v="208"/>
    <n v="197.66"/>
    <n v="0"/>
    <n v="197.66"/>
    <s v="DOLARES"/>
    <x v="1"/>
    <x v="40"/>
    <x v="0"/>
    <d v="2025-08-01T00:00:00"/>
    <n v="197.66"/>
  </r>
  <r>
    <m/>
    <s v="FACT F002-173998"/>
    <x v="52"/>
    <x v="3"/>
    <x v="176"/>
    <n v="205"/>
    <n v="126.26"/>
    <n v="0"/>
    <n v="126.26"/>
    <s v="SOLES"/>
    <x v="2"/>
    <x v="45"/>
    <x v="0"/>
    <d v="2025-08-08T00:00:00"/>
    <n v="34.591780821917808"/>
  </r>
  <r>
    <n v="1462500160"/>
    <s v="LT 000705"/>
    <x v="38"/>
    <x v="2"/>
    <x v="177"/>
    <n v="204"/>
    <n v="6346"/>
    <n v="0"/>
    <n v="6346"/>
    <s v="DOLARES"/>
    <x v="2"/>
    <x v="26"/>
    <x v="0"/>
    <d v="2025-08-05T00:00:00"/>
    <n v="6346"/>
  </r>
  <r>
    <n v="10180890"/>
    <s v="LT 1822"/>
    <x v="66"/>
    <x v="3"/>
    <x v="177"/>
    <n v="204"/>
    <n v="6608.42"/>
    <n v="0"/>
    <n v="6608.42"/>
    <s v="SOLES"/>
    <x v="4"/>
    <x v="19"/>
    <x v="0"/>
    <d v="2025-08-05T00:00:00"/>
    <n v="1810.5260273972603"/>
  </r>
  <r>
    <s v="707_1708_8"/>
    <s v="LT 116"/>
    <x v="2"/>
    <x v="2"/>
    <x v="177"/>
    <n v="204"/>
    <n v="4478.1000000000004"/>
    <n v="0"/>
    <n v="4478.1000000000004"/>
    <s v="SOLES"/>
    <x v="1"/>
    <x v="5"/>
    <x v="0"/>
    <d v="2025-08-05T00:00:00"/>
    <n v="1226.8767123287673"/>
  </r>
  <r>
    <m/>
    <s v="RECIBO S001-30239755"/>
    <x v="53"/>
    <x v="3"/>
    <x v="177"/>
    <n v="204"/>
    <n v="284.37"/>
    <n v="0"/>
    <n v="284.37"/>
    <s v="SOLES"/>
    <x v="1"/>
    <x v="36"/>
    <x v="0"/>
    <d v="2025-08-05T00:00:00"/>
    <n v="77.909589041095899"/>
  </r>
  <r>
    <m/>
    <s v="6241635 SUMINISTRO"/>
    <x v="5"/>
    <x v="3"/>
    <x v="177"/>
    <n v="204"/>
    <n v="923.3"/>
    <n v="0"/>
    <n v="923.3"/>
    <s v="SOLES"/>
    <x v="1"/>
    <x v="6"/>
    <x v="0"/>
    <d v="2025-08-05T00:00:00"/>
    <n v="252.95890410958904"/>
  </r>
  <r>
    <m/>
    <s v="6241630 SUMINISTRO"/>
    <x v="5"/>
    <x v="2"/>
    <x v="177"/>
    <n v="204"/>
    <n v="21.1"/>
    <n v="0"/>
    <n v="21.1"/>
    <s v="SOLES"/>
    <x v="1"/>
    <x v="6"/>
    <x v="0"/>
    <d v="2025-08-05T00:00:00"/>
    <n v="5.7808219178082201"/>
  </r>
  <r>
    <m/>
    <m/>
    <x v="48"/>
    <x v="3"/>
    <x v="177"/>
    <n v="204"/>
    <n v="90"/>
    <n v="0"/>
    <n v="90"/>
    <s v="SOLES"/>
    <x v="1"/>
    <x v="41"/>
    <x v="0"/>
    <d v="2025-08-05T00:00:00"/>
    <n v="24.657534246575342"/>
  </r>
  <r>
    <m/>
    <s v="JULIO PERIODO"/>
    <x v="7"/>
    <x v="3"/>
    <x v="178"/>
    <n v="202"/>
    <n v="1940"/>
    <n v="0"/>
    <n v="1940"/>
    <s v="SOLES"/>
    <x v="1"/>
    <x v="8"/>
    <x v="0"/>
    <d v="2025-08-07T00:00:00"/>
    <n v="531.50684931506851"/>
  </r>
  <r>
    <m/>
    <s v="JULIO PERIODO"/>
    <x v="7"/>
    <x v="1"/>
    <x v="178"/>
    <n v="202"/>
    <n v="480"/>
    <n v="0"/>
    <n v="480"/>
    <s v="SOLES"/>
    <x v="1"/>
    <x v="8"/>
    <x v="0"/>
    <d v="2025-08-07T00:00:00"/>
    <n v="131.50684931506851"/>
  </r>
  <r>
    <m/>
    <s v="JULIO PERIODO"/>
    <x v="7"/>
    <x v="2"/>
    <x v="178"/>
    <n v="202"/>
    <n v="2154"/>
    <n v="0"/>
    <n v="2154"/>
    <s v="SOLES"/>
    <x v="1"/>
    <x v="8"/>
    <x v="0"/>
    <d v="2025-08-07T00:00:00"/>
    <n v="590.13698630136992"/>
  </r>
  <r>
    <n v="1572501068"/>
    <s v="LT 5016"/>
    <x v="49"/>
    <x v="2"/>
    <x v="178"/>
    <n v="202"/>
    <n v="6825"/>
    <n v="0"/>
    <n v="6825"/>
    <s v="SOLES"/>
    <x v="2"/>
    <x v="32"/>
    <x v="0"/>
    <d v="2025-08-08T00:00:00"/>
    <n v="1869.8630136986301"/>
  </r>
  <r>
    <n v="1482501426"/>
    <s v="LT 5008"/>
    <x v="49"/>
    <x v="2"/>
    <x v="178"/>
    <n v="202"/>
    <n v="24288"/>
    <n v="0"/>
    <n v="24288"/>
    <s v="SOLES"/>
    <x v="2"/>
    <x v="52"/>
    <x v="0"/>
    <d v="2025-08-08T00:00:00"/>
    <n v="6654.2465753424658"/>
  </r>
  <r>
    <m/>
    <m/>
    <x v="10"/>
    <x v="3"/>
    <x v="179"/>
    <n v="201"/>
    <n v="20000"/>
    <n v="0"/>
    <n v="20000"/>
    <s v="SOLES"/>
    <x v="1"/>
    <x v="10"/>
    <x v="0"/>
    <d v="2025-08-13T00:00:00"/>
    <n v="5479.4520547945203"/>
  </r>
  <r>
    <m/>
    <m/>
    <x v="10"/>
    <x v="2"/>
    <x v="179"/>
    <n v="201"/>
    <n v="20000"/>
    <n v="0"/>
    <n v="20000"/>
    <s v="SOLES"/>
    <x v="1"/>
    <x v="10"/>
    <x v="0"/>
    <d v="2025-08-13T00:00:00"/>
    <n v="5479.4520547945203"/>
  </r>
  <r>
    <m/>
    <s v="JULIO PERIODO"/>
    <x v="8"/>
    <x v="1"/>
    <x v="179"/>
    <n v="201"/>
    <n v="1280"/>
    <n v="0"/>
    <n v="1280"/>
    <s v="SOLES"/>
    <x v="1"/>
    <x v="54"/>
    <x v="0"/>
    <d v="2025-08-09T00:00:00"/>
    <n v="350.6849315068493"/>
  </r>
  <r>
    <m/>
    <s v="JULIO PERIODO"/>
    <x v="8"/>
    <x v="3"/>
    <x v="179"/>
    <n v="201"/>
    <n v="1430"/>
    <n v="0"/>
    <n v="1430"/>
    <s v="SOLES"/>
    <x v="1"/>
    <x v="54"/>
    <x v="0"/>
    <d v="2025-08-08T00:00:00"/>
    <n v="391.78082191780823"/>
  </r>
  <r>
    <m/>
    <s v="JULIO PERIODO"/>
    <x v="8"/>
    <x v="2"/>
    <x v="179"/>
    <n v="201"/>
    <n v="2850"/>
    <n v="0"/>
    <n v="2850"/>
    <s v="SOLES"/>
    <x v="1"/>
    <x v="54"/>
    <x v="0"/>
    <d v="2025-08-08T00:00:00"/>
    <n v="780.82191780821915"/>
  </r>
  <r>
    <m/>
    <s v="0883909 SUMNISTRO"/>
    <x v="9"/>
    <x v="3"/>
    <x v="179"/>
    <n v="201"/>
    <n v="1848.5"/>
    <n v="0"/>
    <n v="1848.5"/>
    <s v="SOLES"/>
    <x v="1"/>
    <x v="27"/>
    <x v="0"/>
    <d v="2025-08-09T00:00:00"/>
    <n v="506.43835616438355"/>
  </r>
  <r>
    <m/>
    <s v="1975640 SUMINISTRO"/>
    <x v="9"/>
    <x v="3"/>
    <x v="179"/>
    <n v="201"/>
    <n v="197"/>
    <n v="0"/>
    <n v="197"/>
    <s v="SOLES"/>
    <x v="1"/>
    <x v="27"/>
    <x v="2"/>
    <m/>
    <n v="53.972602739726028"/>
  </r>
  <r>
    <m/>
    <m/>
    <x v="70"/>
    <x v="0"/>
    <x v="179"/>
    <n v="201"/>
    <n v="165.5"/>
    <n v="0"/>
    <n v="165.5"/>
    <s v="SOLES"/>
    <x v="1"/>
    <x v="27"/>
    <x v="0"/>
    <d v="2025-08-12T00:00:00"/>
    <n v="45.342465753424662"/>
  </r>
  <r>
    <s v="ETA 24/06"/>
    <s v="INVOICE  XJISD25001 - 01FCL"/>
    <x v="51"/>
    <x v="2"/>
    <x v="180"/>
    <n v="198"/>
    <n v="27669.5"/>
    <n v="0"/>
    <n v="27669.5"/>
    <s v="DOLARES"/>
    <x v="1"/>
    <x v="44"/>
    <x v="0"/>
    <d v="2025-09-16T00:00:00"/>
    <n v="27669.5"/>
  </r>
  <r>
    <s v="TASA 7.2%"/>
    <s v="CUOTA 8 DE 180"/>
    <x v="54"/>
    <x v="0"/>
    <x v="181"/>
    <n v="196"/>
    <n v="30099.17"/>
    <n v="0"/>
    <n v="30099.17"/>
    <s v="SOLES"/>
    <x v="2"/>
    <x v="15"/>
    <x v="0"/>
    <d v="2025-08-13T00:00:00"/>
    <n v="8246.3479452054798"/>
  </r>
  <r>
    <s v="TASA 13.54%"/>
    <s v="CUOTA 17 DE 24"/>
    <x v="15"/>
    <x v="2"/>
    <x v="181"/>
    <n v="196"/>
    <n v="4280.91"/>
    <n v="0"/>
    <n v="4280.91"/>
    <s v="SOLES"/>
    <x v="1"/>
    <x v="15"/>
    <x v="0"/>
    <d v="2025-08-13T00:00:00"/>
    <n v="1172.8520547945204"/>
  </r>
  <r>
    <m/>
    <s v="6241625 SUMINISTRO"/>
    <x v="5"/>
    <x v="0"/>
    <x v="182"/>
    <n v="195"/>
    <n v="83.8"/>
    <n v="0"/>
    <n v="83.8"/>
    <s v="SOLES"/>
    <x v="1"/>
    <x v="6"/>
    <x v="0"/>
    <d v="2025-08-12T00:00:00"/>
    <n v="22.958904109589042"/>
  </r>
  <r>
    <m/>
    <s v="FACT F002-175011"/>
    <x v="52"/>
    <x v="4"/>
    <x v="181"/>
    <n v="196"/>
    <n v="519.91"/>
    <n v="0"/>
    <n v="519.91"/>
    <s v="SOLES"/>
    <x v="2"/>
    <x v="45"/>
    <x v="0"/>
    <d v="2025-08-15T00:00:00"/>
    <n v="142.44109589041096"/>
  </r>
  <r>
    <m/>
    <s v="JULIO PERIODO"/>
    <x v="20"/>
    <x v="0"/>
    <x v="182"/>
    <n v="195"/>
    <n v="2625"/>
    <n v="0"/>
    <n v="2625"/>
    <s v="SOLES"/>
    <x v="0"/>
    <x v="1"/>
    <x v="0"/>
    <d v="2025-08-20T00:00:00"/>
    <n v="719.17808219178085"/>
  </r>
  <r>
    <m/>
    <s v="JULIO PERIODO"/>
    <x v="21"/>
    <x v="4"/>
    <x v="183"/>
    <n v="193"/>
    <n v="597"/>
    <n v="0"/>
    <n v="597"/>
    <s v="SOLES"/>
    <x v="1"/>
    <x v="1"/>
    <x v="0"/>
    <d v="2025-08-19T00:00:00"/>
    <n v="163.56164383561645"/>
  </r>
  <r>
    <n v="1462500159"/>
    <s v="LT 000714"/>
    <x v="38"/>
    <x v="2"/>
    <x v="184"/>
    <n v="194"/>
    <n v="6346"/>
    <n v="0"/>
    <n v="6346"/>
    <s v="DOLARES"/>
    <x v="2"/>
    <x v="26"/>
    <x v="0"/>
    <d v="2025-08-15T00:00:00"/>
    <n v="6346"/>
  </r>
  <r>
    <s v="712_0499_2"/>
    <s v="LT 2025-037"/>
    <x v="44"/>
    <x v="2"/>
    <x v="184"/>
    <n v="194"/>
    <n v="817.74"/>
    <n v="0"/>
    <n v="817.74"/>
    <s v="DOLARES"/>
    <x v="1"/>
    <x v="38"/>
    <x v="0"/>
    <d v="2025-08-15T00:00:00"/>
    <n v="817.74"/>
  </r>
  <r>
    <m/>
    <m/>
    <x v="19"/>
    <x v="3"/>
    <x v="184"/>
    <n v="194"/>
    <n v="60000"/>
    <n v="0"/>
    <n v="60000"/>
    <s v="SOLES"/>
    <x v="1"/>
    <x v="17"/>
    <x v="0"/>
    <d v="2025-08-15T00:00:00"/>
    <n v="16438.356164383564"/>
  </r>
  <r>
    <m/>
    <s v="FACT F001-11553"/>
    <x v="6"/>
    <x v="2"/>
    <x v="183"/>
    <n v="193"/>
    <n v="3584"/>
    <n v="0"/>
    <n v="3584"/>
    <s v="SOLES"/>
    <x v="1"/>
    <x v="7"/>
    <x v="0"/>
    <d v="2025-08-19T00:00:00"/>
    <n v="981.91780821917814"/>
  </r>
  <r>
    <m/>
    <s v="JULIO PERIODO"/>
    <x v="16"/>
    <x v="2"/>
    <x v="183"/>
    <n v="193"/>
    <n v="4147"/>
    <n v="0"/>
    <n v="4147"/>
    <s v="SOLES"/>
    <x v="1"/>
    <x v="1"/>
    <x v="0"/>
    <d v="2025-08-16T00:00:00"/>
    <n v="1136.1643835616439"/>
  </r>
  <r>
    <m/>
    <s v="CUOTA 5 DE 09"/>
    <x v="55"/>
    <x v="2"/>
    <x v="185"/>
    <n v="191"/>
    <n v="784"/>
    <n v="0"/>
    <n v="784"/>
    <s v="SOLES"/>
    <x v="1"/>
    <x v="1"/>
    <x v="0"/>
    <d v="2025-08-18T00:00:00"/>
    <n v="214.79452054794521"/>
  </r>
  <r>
    <m/>
    <s v="JULIO PERIODO"/>
    <x v="16"/>
    <x v="3"/>
    <x v="185"/>
    <n v="10"/>
    <n v="3800"/>
    <n v="0"/>
    <n v="3800"/>
    <s v="SOLES"/>
    <x v="1"/>
    <x v="1"/>
    <x v="0"/>
    <d v="2025-08-18T00:00:00"/>
    <n v="1041.0958904109589"/>
  </r>
  <r>
    <m/>
    <s v="FACT E001-1481"/>
    <x v="40"/>
    <x v="2"/>
    <x v="185"/>
    <n v="191"/>
    <n v="1800"/>
    <n v="0"/>
    <n v="1800"/>
    <s v="SOLES"/>
    <x v="1"/>
    <x v="33"/>
    <x v="0"/>
    <d v="2025-09-02T00:00:00"/>
    <n v="493.15068493150687"/>
  </r>
  <r>
    <m/>
    <s v="CUOTA 5 DE 09"/>
    <x v="55"/>
    <x v="3"/>
    <x v="186"/>
    <n v="190"/>
    <n v="3930"/>
    <n v="0"/>
    <n v="3930"/>
    <s v="SOLES"/>
    <x v="1"/>
    <x v="1"/>
    <x v="0"/>
    <d v="2025-08-19T00:00:00"/>
    <n v="1076.7123287671234"/>
  </r>
  <r>
    <s v="_x000a_709_6422_6"/>
    <s v="LT 09392-11-00"/>
    <x v="23"/>
    <x v="2"/>
    <x v="186"/>
    <n v="190"/>
    <n v="4566.58"/>
    <n v="0"/>
    <n v="4566.58"/>
    <s v="DOLARES"/>
    <x v="1"/>
    <x v="19"/>
    <x v="0"/>
    <d v="2025-08-19T00:00:00"/>
    <n v="4566.58"/>
  </r>
  <r>
    <s v="709_6422_8"/>
    <s v="LT 09391-11-00"/>
    <x v="23"/>
    <x v="3"/>
    <x v="186"/>
    <n v="190"/>
    <n v="7378.82"/>
    <n v="0"/>
    <n v="7378.82"/>
    <s v="DOLARES"/>
    <x v="1"/>
    <x v="19"/>
    <x v="0"/>
    <d v="2025-08-19T00:00:00"/>
    <n v="7378.82"/>
  </r>
  <r>
    <s v="_x000a_711_8114_0"/>
    <s v="LT 118"/>
    <x v="2"/>
    <x v="2"/>
    <x v="186"/>
    <n v="190"/>
    <n v="6475.84"/>
    <n v="0"/>
    <n v="6475.84"/>
    <s v="SOLES"/>
    <x v="1"/>
    <x v="5"/>
    <x v="0"/>
    <d v="2025-08-19T00:00:00"/>
    <n v="1774.2027397260274"/>
  </r>
  <r>
    <s v="TASA 9.10%"/>
    <s v="IMPT 30K"/>
    <x v="28"/>
    <x v="3"/>
    <x v="186"/>
    <n v="190"/>
    <n v="30660.37"/>
    <n v="0"/>
    <n v="30660.37"/>
    <s v="DOLARES"/>
    <x v="1"/>
    <x v="53"/>
    <x v="0"/>
    <d v="2025-08-19T00:00:00"/>
    <n v="30660.37"/>
  </r>
  <r>
    <n v="10157741"/>
    <s v="LT 7274"/>
    <x v="18"/>
    <x v="2"/>
    <x v="187"/>
    <n v="189"/>
    <n v="7731.36"/>
    <n v="0"/>
    <n v="7731.36"/>
    <s v="DOLARES"/>
    <x v="4"/>
    <x v="25"/>
    <x v="0"/>
    <d v="2025-08-20T00:00:00"/>
    <n v="7731.36"/>
  </r>
  <r>
    <s v=".-1572500779"/>
    <s v="LT 5291"/>
    <x v="13"/>
    <x v="1"/>
    <x v="187"/>
    <n v="189"/>
    <n v="3500"/>
    <n v="0"/>
    <n v="3500"/>
    <s v="DOLARES"/>
    <x v="2"/>
    <x v="18"/>
    <x v="0"/>
    <d v="2025-08-20T00:00:00"/>
    <n v="3500"/>
  </r>
  <r>
    <m/>
    <s v="FACT E001-796"/>
    <x v="39"/>
    <x v="2"/>
    <x v="187"/>
    <n v="189"/>
    <n v="849.6"/>
    <n v="0"/>
    <n v="849.6"/>
    <s v="DOLARES"/>
    <x v="1"/>
    <x v="31"/>
    <x v="0"/>
    <d v="2025-09-02T00:00:00"/>
    <n v="849.6"/>
  </r>
  <r>
    <m/>
    <s v="JULIO PERIODO"/>
    <x v="16"/>
    <x v="1"/>
    <x v="187"/>
    <n v="189"/>
    <n v="2960"/>
    <n v="0"/>
    <n v="2960"/>
    <s v="SOLES"/>
    <x v="1"/>
    <x v="1"/>
    <x v="0"/>
    <d v="2025-08-20T00:00:00"/>
    <n v="810.95890410958907"/>
  </r>
  <r>
    <m/>
    <s v="CUOTA 05 DE 09"/>
    <x v="55"/>
    <x v="1"/>
    <x v="188"/>
    <n v="188"/>
    <n v="995"/>
    <n v="0"/>
    <n v="995"/>
    <s v="SOLES"/>
    <x v="1"/>
    <x v="1"/>
    <x v="0"/>
    <d v="2025-08-23T00:00:00"/>
    <n v="272.60273972602738"/>
  </r>
  <r>
    <m/>
    <s v="2749963 SUMINISTRO"/>
    <x v="9"/>
    <x v="2"/>
    <x v="189"/>
    <n v="187"/>
    <n v="9957.5"/>
    <n v="0"/>
    <n v="9957.5"/>
    <s v="SOLES"/>
    <x v="1"/>
    <x v="27"/>
    <x v="0"/>
    <d v="2025-08-22T00:00:00"/>
    <n v="2728.0821917808221"/>
  </r>
  <r>
    <m/>
    <s v="JULIO PERIODO"/>
    <x v="24"/>
    <x v="3"/>
    <x v="190"/>
    <n v="186"/>
    <n v="5060"/>
    <n v="0"/>
    <n v="5060"/>
    <s v="SOLES"/>
    <x v="1"/>
    <x v="1"/>
    <x v="0"/>
    <d v="2025-08-23T00:00:00"/>
    <n v="1386.3013698630136"/>
  </r>
  <r>
    <s v="CRED 113,099"/>
    <s v="CUOTA 24 DE 24"/>
    <x v="27"/>
    <x v="3"/>
    <x v="191"/>
    <n v="184"/>
    <n v="5387.89"/>
    <n v="0"/>
    <n v="5387.89"/>
    <s v="SOLES"/>
    <x v="2"/>
    <x v="15"/>
    <x v="0"/>
    <d v="2025-08-26T00:00:00"/>
    <n v="1476.1342465753426"/>
  </r>
  <r>
    <n v="1612501078"/>
    <s v="LT 116357-0"/>
    <x v="43"/>
    <x v="3"/>
    <x v="191"/>
    <n v="184"/>
    <n v="15044.08"/>
    <n v="0"/>
    <n v="15044.08"/>
    <s v="SOLES"/>
    <x v="2"/>
    <x v="37"/>
    <x v="0"/>
    <d v="2025-08-25T00:00:00"/>
    <n v="4121.6657534246579"/>
  </r>
  <r>
    <m/>
    <s v="CUOTA 15 DE 33"/>
    <x v="29"/>
    <x v="1"/>
    <x v="191"/>
    <n v="184"/>
    <n v="11778.38"/>
    <n v="0"/>
    <n v="11778.38"/>
    <s v="SOLES"/>
    <x v="2"/>
    <x v="15"/>
    <x v="0"/>
    <d v="2025-08-25T00:00:00"/>
    <n v="3226.953424657534"/>
  </r>
  <r>
    <s v="ETA 28/08"/>
    <s v="STAR GRACE / 01FCL "/>
    <x v="71"/>
    <x v="2"/>
    <x v="192"/>
    <n v="182"/>
    <n v="30844.799999999999"/>
    <n v="0"/>
    <n v="30844.799999999999"/>
    <s v="SOLES"/>
    <x v="1"/>
    <x v="55"/>
    <x v="0"/>
    <d v="2025-08-27T00:00:00"/>
    <n v="8450.6301369863013"/>
  </r>
  <r>
    <s v="TASA 8.9%"/>
    <s v="CUOTA 63 DE 114"/>
    <x v="33"/>
    <x v="3"/>
    <x v="193"/>
    <n v="181"/>
    <n v="23920.48"/>
    <n v="0"/>
    <n v="23920.48"/>
    <s v="SOLES"/>
    <x v="1"/>
    <x v="15"/>
    <x v="0"/>
    <d v="2025-08-28T00:00:00"/>
    <n v="6553.5561643835617"/>
  </r>
  <r>
    <s v="TASA 9.10%"/>
    <s v="IMPT 50K"/>
    <x v="28"/>
    <x v="3"/>
    <x v="193"/>
    <n v="181"/>
    <n v="51100.62"/>
    <n v="0"/>
    <n v="51100.62"/>
    <s v="DOLARES"/>
    <x v="1"/>
    <x v="53"/>
    <x v="0"/>
    <d v="2025-09-01T00:00:00"/>
    <n v="51100.62"/>
  </r>
  <r>
    <s v="CHP-029"/>
    <s v="CUOTA 03 DE 04"/>
    <x v="45"/>
    <x v="3"/>
    <x v="194"/>
    <n v="180"/>
    <n v="374.65"/>
    <n v="0"/>
    <n v="374.65"/>
    <s v="SOLES"/>
    <x v="1"/>
    <x v="39"/>
    <x v="0"/>
    <d v="2025-09-06T00:00:00"/>
    <n v="102.64383561643835"/>
  </r>
  <r>
    <s v="CLP-464"/>
    <s v="CUOTA 03 DE 04"/>
    <x v="45"/>
    <x v="2"/>
    <x v="194"/>
    <n v="180"/>
    <n v="300.12"/>
    <n v="0"/>
    <n v="300.12"/>
    <s v="SOLES"/>
    <x v="1"/>
    <x v="39"/>
    <x v="0"/>
    <d v="2025-09-06T00:00:00"/>
    <n v="82.224657534246575"/>
  </r>
  <r>
    <s v="ETA 16/09"/>
    <s v="EVERLITE / 02FCL"/>
    <x v="71"/>
    <x v="2"/>
    <x v="194"/>
    <n v="180"/>
    <n v="61920"/>
    <n v="0"/>
    <n v="61920"/>
    <s v="SOLES"/>
    <x v="1"/>
    <x v="51"/>
    <x v="0"/>
    <d v="2025-08-29T00:00:00"/>
    <n v="16964.383561643837"/>
  </r>
  <r>
    <s v="ETA 30/06"/>
    <s v="INVOICE  ELK-250514-5K"/>
    <x v="37"/>
    <x v="2"/>
    <x v="194"/>
    <n v="180"/>
    <n v="100800"/>
    <n v="0"/>
    <n v="100800"/>
    <s v="DOLARES"/>
    <x v="1"/>
    <x v="30"/>
    <x v="0"/>
    <d v="2025-09-19T00:00:00"/>
    <n v="100800"/>
  </r>
  <r>
    <s v="TASA 15%"/>
    <s v="CUOTA 08 DE 24"/>
    <x v="35"/>
    <x v="1"/>
    <x v="101"/>
    <n v="179"/>
    <n v="9768.16"/>
    <n v="0"/>
    <n v="9768.16"/>
    <s v="SOLES"/>
    <x v="1"/>
    <x v="15"/>
    <x v="0"/>
    <d v="2025-08-30T00:00:00"/>
    <n v="2676.2082191780823"/>
  </r>
  <r>
    <s v="TASA 15%"/>
    <s v="CUOTA 23 DE 24"/>
    <x v="36"/>
    <x v="1"/>
    <x v="101"/>
    <n v="179"/>
    <n v="6174.34"/>
    <n v="0"/>
    <n v="6174.34"/>
    <s v="SOLES"/>
    <x v="1"/>
    <x v="15"/>
    <x v="0"/>
    <d v="2025-08-30T00:00:00"/>
    <n v="1691.6000000000001"/>
  </r>
  <r>
    <s v="ETA 21/07"/>
    <s v="INVOICE 25L177 / 02 FLEXI"/>
    <x v="57"/>
    <x v="2"/>
    <x v="101"/>
    <n v="179"/>
    <n v="48254"/>
    <n v="0"/>
    <n v="48254"/>
    <s v="DOLARES"/>
    <x v="1"/>
    <x v="25"/>
    <x v="0"/>
    <d v="2025-09-15T00:00:00"/>
    <n v="48254"/>
  </r>
  <r>
    <m/>
    <s v="FACT E001-810"/>
    <x v="39"/>
    <x v="2"/>
    <x v="101"/>
    <n v="179"/>
    <n v="472"/>
    <n v="0"/>
    <n v="472"/>
    <s v="DOLARES"/>
    <x v="1"/>
    <x v="34"/>
    <x v="0"/>
    <d v="2025-09-19T00:00:00"/>
    <n v="472"/>
  </r>
  <r>
    <s v="712_0942_6"/>
    <s v="LT 1725"/>
    <x v="22"/>
    <x v="2"/>
    <x v="195"/>
    <n v="178"/>
    <n v="1026.5999999999999"/>
    <n v="0"/>
    <n v="1026.5999999999999"/>
    <s v="DOLARES"/>
    <x v="1"/>
    <x v="18"/>
    <x v="0"/>
    <d v="2025-08-29T00:00:00"/>
    <n v="1026.5999999999999"/>
  </r>
  <r>
    <m/>
    <m/>
    <x v="19"/>
    <x v="3"/>
    <x v="195"/>
    <n v="178"/>
    <n v="60000"/>
    <n v="0"/>
    <n v="60000"/>
    <s v="SOLES"/>
    <x v="1"/>
    <x v="17"/>
    <x v="0"/>
    <d v="2025-09-01T00:00:00"/>
    <n v="16438.356164383564"/>
  </r>
  <r>
    <n v="1642500781"/>
    <s v="LT 5115"/>
    <x v="49"/>
    <x v="3"/>
    <x v="196"/>
    <n v="177"/>
    <n v="13797.01"/>
    <n v="0"/>
    <n v="13797.01"/>
    <s v="DOLARES"/>
    <x v="2"/>
    <x v="25"/>
    <x v="0"/>
    <d v="2025-09-01T00:00:00"/>
    <n v="13797.01"/>
  </r>
  <r>
    <s v="713_3366_9"/>
    <s v="LT 09470-11-00"/>
    <x v="23"/>
    <x v="3"/>
    <x v="197"/>
    <n v="175"/>
    <n v="2510.6"/>
    <n v="0"/>
    <n v="2510.6"/>
    <s v="DOLARES"/>
    <x v="1"/>
    <x v="19"/>
    <x v="0"/>
    <d v="2025-09-03T00:00:00"/>
    <n v="2510.6"/>
  </r>
  <r>
    <m/>
    <s v="6241630 SUMINISTRO"/>
    <x v="5"/>
    <x v="2"/>
    <x v="197"/>
    <n v="175"/>
    <n v="48.3"/>
    <n v="0"/>
    <n v="48.3"/>
    <s v="SOLES"/>
    <x v="1"/>
    <x v="6"/>
    <x v="0"/>
    <d v="2025-09-03T00:00:00"/>
    <n v="13.232876712328766"/>
  </r>
  <r>
    <m/>
    <s v="6241635 SUMINISTRO"/>
    <x v="5"/>
    <x v="3"/>
    <x v="197"/>
    <n v="175"/>
    <n v="2085.1"/>
    <n v="0"/>
    <n v="2085.1"/>
    <s v="SOLES"/>
    <x v="1"/>
    <x v="6"/>
    <x v="0"/>
    <d v="2025-09-03T00:00:00"/>
    <n v="571.2602739726027"/>
  </r>
  <r>
    <m/>
    <s v="FACT F002-176632"/>
    <x v="52"/>
    <x v="3"/>
    <x v="198"/>
    <n v="176"/>
    <n v="126.26"/>
    <n v="0"/>
    <n v="126.26"/>
    <s v="SOLES"/>
    <x v="2"/>
    <x v="45"/>
    <x v="0"/>
    <d v="2025-09-04T00:00:00"/>
    <n v="34.591780821917808"/>
  </r>
  <r>
    <s v="709_9796_2"/>
    <s v="LT 117"/>
    <x v="2"/>
    <x v="2"/>
    <x v="199"/>
    <n v="174"/>
    <n v="8054.68"/>
    <n v="0"/>
    <n v="8054.68"/>
    <s v="SOLES"/>
    <x v="1"/>
    <x v="5"/>
    <x v="0"/>
    <d v="2025-09-04T00:00:00"/>
    <n v="2206.7616438356167"/>
  </r>
  <r>
    <m/>
    <s v="FACT F001-11916"/>
    <x v="6"/>
    <x v="2"/>
    <x v="199"/>
    <n v="174"/>
    <n v="5200"/>
    <n v="0"/>
    <n v="5200"/>
    <s v="SOLES"/>
    <x v="1"/>
    <x v="7"/>
    <x v="0"/>
    <d v="2025-09-15T00:00:00"/>
    <n v="1424.6575342465753"/>
  </r>
  <r>
    <m/>
    <s v="6241625 SUMINISTRO"/>
    <x v="5"/>
    <x v="0"/>
    <x v="199"/>
    <n v="174"/>
    <n v="7.4"/>
    <n v="0"/>
    <n v="7.4"/>
    <s v="SOLES"/>
    <x v="1"/>
    <x v="6"/>
    <x v="0"/>
    <d v="2025-09-04T00:00:00"/>
    <n v="2.0273972602739727"/>
  </r>
  <r>
    <m/>
    <s v="AGOSTO PERIODO"/>
    <x v="7"/>
    <x v="3"/>
    <x v="200"/>
    <n v="173"/>
    <n v="2690"/>
    <n v="0"/>
    <n v="2690"/>
    <s v="SOLES"/>
    <x v="1"/>
    <x v="8"/>
    <x v="0"/>
    <d v="2025-09-05T00:00:00"/>
    <n v="736.98630136986299"/>
  </r>
  <r>
    <m/>
    <s v="AGOSTO PERIODO"/>
    <x v="7"/>
    <x v="2"/>
    <x v="200"/>
    <n v="173"/>
    <n v="2258"/>
    <n v="0"/>
    <n v="2258"/>
    <s v="SOLES"/>
    <x v="1"/>
    <x v="8"/>
    <x v="0"/>
    <d v="2025-09-05T00:00:00"/>
    <n v="618.63013698630141"/>
  </r>
  <r>
    <m/>
    <s v="AGOSTO PERIODO"/>
    <x v="7"/>
    <x v="1"/>
    <x v="200"/>
    <n v="173"/>
    <n v="320"/>
    <n v="0"/>
    <n v="320"/>
    <s v="SOLES"/>
    <x v="1"/>
    <x v="8"/>
    <x v="0"/>
    <d v="2025-09-06T00:00:00"/>
    <n v="87.671232876712324"/>
  </r>
  <r>
    <m/>
    <m/>
    <x v="48"/>
    <x v="3"/>
    <x v="200"/>
    <n v="173"/>
    <n v="78.400000000000006"/>
    <n v="0"/>
    <n v="78.400000000000006"/>
    <s v="SOLES"/>
    <x v="1"/>
    <x v="41"/>
    <x v="0"/>
    <d v="2025-09-05T00:00:00"/>
    <n v="21.479452054794521"/>
  </r>
  <r>
    <m/>
    <m/>
    <x v="53"/>
    <x v="3"/>
    <x v="200"/>
    <n v="173"/>
    <n v="284.37"/>
    <n v="0"/>
    <n v="284.37"/>
    <s v="SOLES"/>
    <x v="1"/>
    <x v="36"/>
    <x v="0"/>
    <d v="2025-09-05T00:00:00"/>
    <n v="77.909589041095899"/>
  </r>
  <r>
    <m/>
    <s v="AGOSTO PERIODO"/>
    <x v="8"/>
    <x v="2"/>
    <x v="200"/>
    <n v="173"/>
    <n v="3050"/>
    <n v="0"/>
    <n v="3050"/>
    <s v="SOLES"/>
    <x v="1"/>
    <x v="54"/>
    <x v="0"/>
    <d v="2025-09-05T00:00:00"/>
    <n v="835.61643835616439"/>
  </r>
  <r>
    <m/>
    <s v="AGOSTO PERIODO"/>
    <x v="8"/>
    <x v="3"/>
    <x v="200"/>
    <n v="173"/>
    <n v="1320"/>
    <n v="0"/>
    <n v="1320"/>
    <s v="SOLES"/>
    <x v="1"/>
    <x v="54"/>
    <x v="0"/>
    <d v="2025-09-05T00:00:00"/>
    <n v="361.64383561643837"/>
  </r>
  <r>
    <m/>
    <s v="AGOSTO PERIODO"/>
    <x v="8"/>
    <x v="1"/>
    <x v="200"/>
    <n v="173"/>
    <n v="1350"/>
    <n v="0"/>
    <n v="1350"/>
    <s v="SOLES"/>
    <x v="1"/>
    <x v="54"/>
    <x v="0"/>
    <d v="2025-09-05T00:00:00"/>
    <n v="369.86301369863014"/>
  </r>
  <r>
    <m/>
    <s v="0883909 SUMNISTRO"/>
    <x v="9"/>
    <x v="3"/>
    <x v="201"/>
    <n v="172"/>
    <n v="1697.5"/>
    <n v="0"/>
    <n v="1697.5"/>
    <s v="SOLES"/>
    <x v="1"/>
    <x v="27"/>
    <x v="0"/>
    <d v="2025-09-06T00:00:00"/>
    <n v="465.06849315068496"/>
  </r>
  <r>
    <m/>
    <s v="1975640 SUMINISTRO"/>
    <x v="9"/>
    <x v="3"/>
    <x v="201"/>
    <n v="172"/>
    <n v="235.5"/>
    <n v="0"/>
    <n v="235.5"/>
    <s v="SOLES"/>
    <x v="1"/>
    <x v="27"/>
    <x v="0"/>
    <d v="2025-09-06T00:00:00"/>
    <n v="64.520547945205479"/>
  </r>
  <r>
    <m/>
    <s v="0883907 SUMINISTRO"/>
    <x v="9"/>
    <x v="0"/>
    <x v="201"/>
    <n v="172"/>
    <n v="99.5"/>
    <n v="0"/>
    <n v="99.5"/>
    <s v="SOLES"/>
    <x v="1"/>
    <x v="27"/>
    <x v="0"/>
    <d v="2025-09-06T00:00:00"/>
    <n v="27.260273972602739"/>
  </r>
  <r>
    <s v="VENCE 07/09"/>
    <s v="CHP-029"/>
    <x v="3"/>
    <x v="3"/>
    <x v="201"/>
    <n v="172"/>
    <n v="180"/>
    <n v="0"/>
    <n v="180"/>
    <s v="SOLES"/>
    <x v="1"/>
    <x v="3"/>
    <x v="0"/>
    <d v="2025-09-06T00:00:00"/>
    <n v="49.315068493150683"/>
  </r>
  <r>
    <m/>
    <m/>
    <x v="10"/>
    <x v="3"/>
    <x v="202"/>
    <n v="170"/>
    <n v="20000"/>
    <n v="0"/>
    <n v="20000"/>
    <s v="SOLES"/>
    <x v="1"/>
    <x v="10"/>
    <x v="0"/>
    <d v="2025-09-11T00:00:00"/>
    <n v="5479.4520547945203"/>
  </r>
  <r>
    <m/>
    <m/>
    <x v="10"/>
    <x v="2"/>
    <x v="202"/>
    <n v="170"/>
    <n v="20000"/>
    <n v="0"/>
    <n v="20000"/>
    <s v="SOLES"/>
    <x v="1"/>
    <x v="10"/>
    <x v="0"/>
    <d v="2025-09-11T00:00:00"/>
    <n v="5479.4520547945203"/>
  </r>
  <r>
    <s v="TASA 14.75%"/>
    <s v="IMPT 50k"/>
    <x v="28"/>
    <x v="2"/>
    <x v="203"/>
    <n v="169"/>
    <n v="51749.74"/>
    <n v="0"/>
    <n v="51749.74"/>
    <s v="DOLARES"/>
    <x v="1"/>
    <x v="53"/>
    <x v="0"/>
    <d v="2025-09-10T00:00:00"/>
    <n v="51749.74"/>
  </r>
  <r>
    <s v="708-8670-2"/>
    <s v="LT 7318"/>
    <x v="18"/>
    <x v="2"/>
    <x v="203"/>
    <n v="169"/>
    <n v="30925.439999999999"/>
    <n v="0"/>
    <n v="30925.439999999999"/>
    <s v="DOLARES"/>
    <x v="1"/>
    <x v="25"/>
    <x v="0"/>
    <d v="2025-09-09T00:00:00"/>
    <n v="30925.439999999999"/>
  </r>
  <r>
    <s v="710_3826_3"/>
    <s v="LT 7317"/>
    <x v="18"/>
    <x v="2"/>
    <x v="203"/>
    <n v="169"/>
    <n v="2649.1"/>
    <n v="0"/>
    <n v="2649.1"/>
    <s v="DOLARES"/>
    <x v="1"/>
    <x v="16"/>
    <x v="0"/>
    <d v="2025-09-09T00:00:00"/>
    <n v="2649.1"/>
  </r>
  <r>
    <m/>
    <s v="AGOSTO PERIODO"/>
    <x v="16"/>
    <x v="2"/>
    <x v="204"/>
    <n v="166"/>
    <n v="4020"/>
    <n v="0"/>
    <n v="4020"/>
    <s v="SOLES"/>
    <x v="1"/>
    <x v="1"/>
    <x v="0"/>
    <d v="2025-09-13T00:00:00"/>
    <n v="1101.3698630136987"/>
  </r>
  <r>
    <m/>
    <s v="AGOSTO PERIODO"/>
    <x v="16"/>
    <x v="3"/>
    <x v="205"/>
    <n v="165"/>
    <n v="3790"/>
    <n v="0"/>
    <n v="3790"/>
    <s v="SOLES"/>
    <x v="1"/>
    <x v="1"/>
    <x v="0"/>
    <d v="2025-09-13T00:00:00"/>
    <n v="1038.3561643835617"/>
  </r>
  <r>
    <m/>
    <s v="FACT F002-177677"/>
    <x v="52"/>
    <x v="3"/>
    <x v="205"/>
    <n v="165"/>
    <n v="519.91"/>
    <n v="0"/>
    <n v="519.91"/>
    <s v="SOLES"/>
    <x v="2"/>
    <x v="45"/>
    <x v="0"/>
    <d v="2025-09-15T00:00:00"/>
    <n v="142.44109589041096"/>
  </r>
  <r>
    <s v="TASA 13.54%"/>
    <s v="CUOTA 18 DE 24"/>
    <x v="15"/>
    <x v="2"/>
    <x v="205"/>
    <n v="165"/>
    <n v="4280.91"/>
    <n v="0"/>
    <n v="4280.91"/>
    <s v="SOLES"/>
    <x v="1"/>
    <x v="15"/>
    <x v="0"/>
    <d v="2025-09-13T00:00:00"/>
    <n v="1172.8520547945204"/>
  </r>
  <r>
    <s v="TASA 7.2%"/>
    <s v="CUOTA 9 DE 180"/>
    <x v="54"/>
    <x v="0"/>
    <x v="206"/>
    <n v="163"/>
    <n v="30099.17"/>
    <n v="0"/>
    <n v="30099.17"/>
    <s v="SOLES"/>
    <x v="2"/>
    <x v="15"/>
    <x v="0"/>
    <d v="2025-09-15T00:00:00"/>
    <n v="8246.3479452054798"/>
  </r>
  <r>
    <m/>
    <s v="CUOTA 6 DE 09"/>
    <x v="55"/>
    <x v="2"/>
    <x v="206"/>
    <n v="163"/>
    <n v="784"/>
    <n v="0"/>
    <n v="784"/>
    <s v="SOLES"/>
    <x v="1"/>
    <x v="1"/>
    <x v="0"/>
    <d v="2025-09-15T00:00:00"/>
    <n v="214.79452054794521"/>
  </r>
  <r>
    <s v="_x000a_713_3633_0"/>
    <s v="LT 120"/>
    <x v="2"/>
    <x v="2"/>
    <x v="206"/>
    <n v="163"/>
    <n v="1096"/>
    <n v="0"/>
    <n v="1096"/>
    <s v="SOLES"/>
    <x v="1"/>
    <x v="5"/>
    <x v="0"/>
    <d v="2025-09-15T00:00:00"/>
    <n v="300.27397260273972"/>
  </r>
  <r>
    <s v="EVERLITE"/>
    <s v="ETA 16/09"/>
    <x v="71"/>
    <x v="2"/>
    <x v="206"/>
    <n v="163"/>
    <n v="63640"/>
    <n v="0"/>
    <n v="63640"/>
    <s v="SOLES"/>
    <x v="1"/>
    <x v="51"/>
    <x v="0"/>
    <d v="2025-08-29T00:00:00"/>
    <n v="17435.616438356166"/>
  </r>
  <r>
    <m/>
    <m/>
    <x v="19"/>
    <x v="3"/>
    <x v="206"/>
    <n v="163"/>
    <n v="60000"/>
    <n v="0"/>
    <n v="60000"/>
    <s v="SOLES"/>
    <x v="1"/>
    <x v="17"/>
    <x v="0"/>
    <d v="2025-09-15T00:00:00"/>
    <n v="16438.356164383564"/>
  </r>
  <r>
    <m/>
    <s v="CUOTA 6 DE 09"/>
    <x v="55"/>
    <x v="3"/>
    <x v="207"/>
    <n v="162"/>
    <n v="3930"/>
    <n v="0"/>
    <n v="3930"/>
    <s v="SOLES"/>
    <x v="1"/>
    <x v="1"/>
    <x v="0"/>
    <d v="2025-09-16T00:00:00"/>
    <n v="1076.7123287671234"/>
  </r>
  <r>
    <n v="1972500712"/>
    <s v="LT 09532-11-00"/>
    <x v="23"/>
    <x v="2"/>
    <x v="207"/>
    <n v="162"/>
    <n v="7770.18"/>
    <n v="0"/>
    <n v="7770.18"/>
    <s v="DOLARES"/>
    <x v="2"/>
    <x v="19"/>
    <x v="0"/>
    <d v="2025-09-16T00:00:00"/>
    <n v="7770.18"/>
  </r>
  <r>
    <m/>
    <s v="AGOSTO PERIODO"/>
    <x v="20"/>
    <x v="0"/>
    <x v="207"/>
    <n v="162"/>
    <n v="2625"/>
    <n v="0"/>
    <n v="2625"/>
    <s v="SOLES"/>
    <x v="1"/>
    <x v="1"/>
    <x v="0"/>
    <d v="2025-09-18T00:00:00"/>
    <n v="719.17808219178085"/>
  </r>
  <r>
    <m/>
    <s v="AGOSTO PERIODO"/>
    <x v="21"/>
    <x v="4"/>
    <x v="207"/>
    <n v="162"/>
    <n v="1026"/>
    <n v="0"/>
    <n v="1026"/>
    <s v="SOLES"/>
    <x v="1"/>
    <x v="1"/>
    <x v="0"/>
    <d v="2025-09-16T00:00:00"/>
    <n v="281.09589041095893"/>
  </r>
  <r>
    <n v="10165718"/>
    <s v="LET 116661-0"/>
    <x v="43"/>
    <x v="3"/>
    <x v="208"/>
    <n v="161"/>
    <n v="17397.240000000002"/>
    <n v="0"/>
    <n v="17397.240000000002"/>
    <s v="SOLES"/>
    <x v="4"/>
    <x v="37"/>
    <x v="0"/>
    <d v="2025-09-17T00:00:00"/>
    <n v="4766.3671232876713"/>
  </r>
  <r>
    <m/>
    <s v="AGOSTO PERIODO"/>
    <x v="16"/>
    <x v="1"/>
    <x v="208"/>
    <n v="161"/>
    <n v="3040"/>
    <n v="0"/>
    <n v="3040"/>
    <s v="SOLES"/>
    <x v="1"/>
    <x v="1"/>
    <x v="0"/>
    <d v="2025-09-17T00:00:00"/>
    <n v="832.8767123287671"/>
  </r>
  <r>
    <s v="713_4079_5"/>
    <s v="LT 2025-042"/>
    <x v="44"/>
    <x v="2"/>
    <x v="209"/>
    <n v="160"/>
    <n v="1428.6"/>
    <n v="0"/>
    <n v="1428.6"/>
    <s v="DOLARES"/>
    <x v="1"/>
    <x v="38"/>
    <x v="0"/>
    <d v="2025-09-18T00:00:00"/>
    <n v="1428.6"/>
  </r>
  <r>
    <m/>
    <s v="MAYO PERIODO"/>
    <x v="1"/>
    <x v="1"/>
    <x v="210"/>
    <n v="159"/>
    <n v="3703"/>
    <n v="0"/>
    <n v="3703"/>
    <s v="SOLES"/>
    <x v="1"/>
    <x v="1"/>
    <x v="0"/>
    <d v="2025-09-19T00:00:00"/>
    <n v="1014.5205479452055"/>
  </r>
  <r>
    <m/>
    <s v="CUOTA 06 DE 09"/>
    <x v="55"/>
    <x v="1"/>
    <x v="210"/>
    <n v="159"/>
    <n v="995"/>
    <n v="0"/>
    <n v="995"/>
    <s v="SOLES"/>
    <x v="1"/>
    <x v="1"/>
    <x v="0"/>
    <d v="2025-09-19T00:00:00"/>
    <n v="272.60273972602738"/>
  </r>
  <r>
    <m/>
    <s v="2749963 SUMINISTRO"/>
    <x v="9"/>
    <x v="2"/>
    <x v="210"/>
    <n v="159"/>
    <n v="9461"/>
    <n v="0"/>
    <n v="9461"/>
    <s v="SOLES"/>
    <x v="1"/>
    <x v="27"/>
    <x v="0"/>
    <d v="2025-09-19T00:00:00"/>
    <n v="2592.0547945205481"/>
  </r>
  <r>
    <m/>
    <s v="CUOTA 16 DE 33"/>
    <x v="29"/>
    <x v="1"/>
    <x v="211"/>
    <n v="154"/>
    <n v="11778.38"/>
    <n v="0"/>
    <n v="11778.38"/>
    <s v="SOLES"/>
    <x v="2"/>
    <x v="15"/>
    <x v="0"/>
    <d v="2025-09-24T00:00:00"/>
    <n v="3226.953424657534"/>
  </r>
  <r>
    <s v="PACIFICO"/>
    <s v="CUOTA 01 DE 04"/>
    <x v="46"/>
    <x v="3"/>
    <x v="212"/>
    <n v="156"/>
    <n v="211.71"/>
    <n v="0"/>
    <n v="211.71"/>
    <s v="DOLARES"/>
    <x v="1"/>
    <x v="40"/>
    <x v="0"/>
    <d v="2025-09-25T00:00:00"/>
    <n v="211.71"/>
  </r>
  <r>
    <s v="713_3366_7"/>
    <s v="09598-11-00"/>
    <x v="23"/>
    <x v="1"/>
    <x v="213"/>
    <n v="152"/>
    <n v="2841.02"/>
    <n v="0"/>
    <n v="2841.02"/>
    <s v="DOLARES"/>
    <x v="1"/>
    <x v="19"/>
    <x v="0"/>
    <d v="2025-09-26T00:00:00"/>
    <n v="2841.02"/>
  </r>
  <r>
    <s v="TASA 12.20%"/>
    <s v="IMPT 180K"/>
    <x v="28"/>
    <x v="3"/>
    <x v="213"/>
    <n v="152"/>
    <n v="185196.11"/>
    <n v="0"/>
    <n v="185196.11"/>
    <s v="SOLES"/>
    <x v="1"/>
    <x v="53"/>
    <x v="0"/>
    <d v="2025-10-02T00:00:00"/>
    <n v="50738.6602739726"/>
  </r>
  <r>
    <s v="EVERLITE"/>
    <s v="ETA 29/09"/>
    <x v="71"/>
    <x v="2"/>
    <x v="213"/>
    <n v="152"/>
    <n v="47108.4"/>
    <n v="0"/>
    <n v="47108.4"/>
    <s v="SOLES"/>
    <x v="1"/>
    <x v="42"/>
    <x v="0"/>
    <d v="2025-09-26T00:00:00"/>
    <n v="12906.410958904111"/>
  </r>
  <r>
    <n v="10212377"/>
    <s v="LT 1841"/>
    <x v="66"/>
    <x v="3"/>
    <x v="214"/>
    <n v="150"/>
    <n v="8529.2999999999993"/>
    <n v="0"/>
    <n v="8529.2999999999993"/>
    <s v="SOLES"/>
    <x v="4"/>
    <x v="19"/>
    <x v="0"/>
    <d v="2025-09-26T00:00:00"/>
    <n v="2336.794520547945"/>
  </r>
  <r>
    <s v="TASA 8.9%"/>
    <s v="CUOTA 64 DE 114"/>
    <x v="33"/>
    <x v="3"/>
    <x v="215"/>
    <n v="149"/>
    <n v="24465.45"/>
    <n v="0"/>
    <n v="24465.45"/>
    <s v="SOLES"/>
    <x v="1"/>
    <x v="15"/>
    <x v="0"/>
    <d v="2025-09-29T00:00:00"/>
    <n v="6702.8630136986303"/>
  </r>
  <r>
    <m/>
    <s v="FACT E001-160"/>
    <x v="41"/>
    <x v="2"/>
    <x v="216"/>
    <n v="148"/>
    <n v="2998.38"/>
    <n v="0"/>
    <n v="2998.38"/>
    <s v="SOLES"/>
    <x v="1"/>
    <x v="35"/>
    <x v="0"/>
    <d v="2025-10-09T00:00:00"/>
    <n v="821.47397260273976"/>
  </r>
  <r>
    <m/>
    <s v="FACT F001-12252"/>
    <x v="6"/>
    <x v="2"/>
    <x v="216"/>
    <n v="148"/>
    <n v="4608"/>
    <n v="0"/>
    <n v="4608"/>
    <s v="SOLES"/>
    <x v="1"/>
    <x v="7"/>
    <x v="0"/>
    <d v="2025-10-09T00:00:00"/>
    <n v="1262.4657534246576"/>
  </r>
  <r>
    <s v="TASA 15%"/>
    <s v="CUOTA 24 DE 24"/>
    <x v="36"/>
    <x v="1"/>
    <x v="216"/>
    <n v="148"/>
    <n v="6146.84"/>
    <n v="0"/>
    <n v="6146.84"/>
    <s v="SOLES"/>
    <x v="1"/>
    <x v="15"/>
    <x v="0"/>
    <d v="2025-09-30T00:00:00"/>
    <n v="1684.0657534246577"/>
  </r>
  <r>
    <s v="TASA 15%"/>
    <s v="CUOTA 09 DE 24"/>
    <x v="35"/>
    <x v="1"/>
    <x v="216"/>
    <n v="148"/>
    <n v="9768.16"/>
    <n v="0"/>
    <n v="9768.16"/>
    <s v="SOLES"/>
    <x v="1"/>
    <x v="15"/>
    <x v="0"/>
    <d v="2025-09-30T00:00:00"/>
    <n v="2676.2082191780823"/>
  </r>
  <r>
    <m/>
    <m/>
    <x v="19"/>
    <x v="3"/>
    <x v="216"/>
    <n v="148"/>
    <n v="60000"/>
    <n v="0"/>
    <n v="60000"/>
    <s v="SOLES"/>
    <x v="1"/>
    <x v="17"/>
    <x v="0"/>
    <d v="2025-10-01T00:00:00"/>
    <n v="16438.356164383564"/>
  </r>
  <r>
    <m/>
    <s v="6241630 SUMINISTRO"/>
    <x v="5"/>
    <x v="2"/>
    <x v="217"/>
    <n v="146"/>
    <n v="62.1"/>
    <n v="0"/>
    <n v="62.1"/>
    <s v="SOLES"/>
    <x v="1"/>
    <x v="6"/>
    <x v="0"/>
    <d v="2025-01-02T00:00:00"/>
    <n v="17.013698630136986"/>
  </r>
  <r>
    <m/>
    <s v="6241635 SUMINISTRO"/>
    <x v="5"/>
    <x v="3"/>
    <x v="217"/>
    <n v="146"/>
    <n v="1620.3"/>
    <n v="0"/>
    <n v="1620.3"/>
    <s v="SOLES"/>
    <x v="1"/>
    <x v="6"/>
    <x v="0"/>
    <d v="2025-01-02T00:00:00"/>
    <n v="443.91780821917808"/>
  </r>
  <r>
    <s v="713_4079_7"/>
    <s v="LETRA 2025-049"/>
    <x v="44"/>
    <x v="2"/>
    <x v="218"/>
    <n v="145"/>
    <n v="1062"/>
    <n v="0"/>
    <n v="1062"/>
    <s v="DOLARES"/>
    <x v="1"/>
    <x v="38"/>
    <x v="0"/>
    <d v="2025-10-04T00:00:00"/>
    <n v="1062"/>
  </r>
  <r>
    <m/>
    <s v="FACT F002-179341"/>
    <x v="52"/>
    <x v="3"/>
    <x v="219"/>
    <n v="144"/>
    <n v="126.26"/>
    <n v="0"/>
    <n v="126.26"/>
    <s v="SOLES"/>
    <x v="2"/>
    <x v="45"/>
    <x v="0"/>
    <d v="2025-10-10T00:00:00"/>
    <n v="34.591780821917808"/>
  </r>
  <r>
    <m/>
    <s v="FACT F02-53"/>
    <x v="39"/>
    <x v="2"/>
    <x v="220"/>
    <n v="143"/>
    <n v="566.4"/>
    <n v="0"/>
    <n v="566.4"/>
    <s v="DOLARES"/>
    <x v="1"/>
    <x v="31"/>
    <x v="0"/>
    <d v="2025-10-14T00:00:00"/>
    <n v="566.4"/>
  </r>
  <r>
    <m/>
    <s v="RECIBOS001-01839661"/>
    <x v="48"/>
    <x v="3"/>
    <x v="220"/>
    <n v="143"/>
    <n v="90"/>
    <n v="0"/>
    <n v="90"/>
    <s v="SOLES"/>
    <x v="1"/>
    <x v="41"/>
    <x v="0"/>
    <d v="2025-10-04T00:00:00"/>
    <n v="24.657534246575342"/>
  </r>
  <r>
    <s v="713_7998_2"/>
    <s v="LETRA 09677-11-00"/>
    <x v="23"/>
    <x v="3"/>
    <x v="221"/>
    <n v="142"/>
    <n v="5878.66"/>
    <n v="0"/>
    <n v="5878.66"/>
    <s v="DOLARES"/>
    <x v="1"/>
    <x v="19"/>
    <x v="0"/>
    <d v="2025-10-06T00:00:00"/>
    <n v="5878.66"/>
  </r>
  <r>
    <s v="CLP-464"/>
    <s v="CUOTA 01 DE 04"/>
    <x v="46"/>
    <x v="2"/>
    <x v="221"/>
    <n v="142"/>
    <n v="224.36"/>
    <n v="0"/>
    <n v="224.36"/>
    <s v="DOLARES"/>
    <x v="1"/>
    <x v="40"/>
    <x v="0"/>
    <d v="2025-10-06T00:00:00"/>
    <n v="224.36"/>
  </r>
  <r>
    <m/>
    <s v="SETIEMBRE PERIODO"/>
    <x v="7"/>
    <x v="3"/>
    <x v="221"/>
    <n v="142"/>
    <n v="1990"/>
    <n v="0"/>
    <n v="1990"/>
    <s v="SOLES"/>
    <x v="1"/>
    <x v="8"/>
    <x v="0"/>
    <d v="2025-10-07T00:00:00"/>
    <n v="545.20547945205476"/>
  </r>
  <r>
    <m/>
    <s v="SETIEMBRE PERIODO"/>
    <x v="7"/>
    <x v="2"/>
    <x v="221"/>
    <n v="142"/>
    <n v="2326"/>
    <n v="0"/>
    <n v="2326"/>
    <s v="SOLES"/>
    <x v="1"/>
    <x v="8"/>
    <x v="0"/>
    <d v="2025-10-07T00:00:00"/>
    <n v="637.2602739726027"/>
  </r>
  <r>
    <m/>
    <s v="SETIEMBRE PERIODO"/>
    <x v="8"/>
    <x v="2"/>
    <x v="222"/>
    <n v="141"/>
    <n v="2800"/>
    <n v="0"/>
    <n v="2800"/>
    <s v="SOLES"/>
    <x v="2"/>
    <x v="1"/>
    <x v="0"/>
    <d v="2025-10-07T00:00:00"/>
    <n v="767.1232876712329"/>
  </r>
  <r>
    <m/>
    <s v="SETIEMBRE PERIODO"/>
    <x v="8"/>
    <x v="3"/>
    <x v="222"/>
    <n v="141"/>
    <n v="1300"/>
    <n v="0"/>
    <n v="1300"/>
    <s v="SOLES"/>
    <x v="2"/>
    <x v="1"/>
    <x v="0"/>
    <d v="2025-10-07T00:00:00"/>
    <n v="356.16438356164383"/>
  </r>
  <r>
    <m/>
    <s v="SETIEMBRE PERIODO"/>
    <x v="8"/>
    <x v="1"/>
    <x v="222"/>
    <n v="141"/>
    <n v="1280"/>
    <n v="0"/>
    <n v="1280"/>
    <s v="SOLES"/>
    <x v="1"/>
    <x v="1"/>
    <x v="0"/>
    <d v="2025-10-07T00:00:00"/>
    <n v="350.6849315068493"/>
  </r>
  <r>
    <m/>
    <s v="1975640 SUMINISTRO"/>
    <x v="9"/>
    <x v="3"/>
    <x v="222"/>
    <n v="141"/>
    <n v="188"/>
    <n v="0"/>
    <n v="188"/>
    <s v="SOLES"/>
    <x v="1"/>
    <x v="27"/>
    <x v="0"/>
    <d v="2025-10-07T00:00:00"/>
    <n v="51.506849315068493"/>
  </r>
  <r>
    <m/>
    <s v="0883909 SUMNISTRO"/>
    <x v="9"/>
    <x v="3"/>
    <x v="222"/>
    <n v="141"/>
    <n v="1845.5"/>
    <n v="0"/>
    <n v="1845.5"/>
    <s v="SOLES"/>
    <x v="1"/>
    <x v="27"/>
    <x v="0"/>
    <d v="2025-10-07T00:00:00"/>
    <n v="505.61643835616439"/>
  </r>
  <r>
    <m/>
    <m/>
    <x v="10"/>
    <x v="3"/>
    <x v="223"/>
    <n v="140"/>
    <n v="20000"/>
    <n v="0"/>
    <n v="20000"/>
    <s v="SOLES"/>
    <x v="1"/>
    <x v="10"/>
    <x v="0"/>
    <d v="2025-10-10T00:00:00"/>
    <n v="5479.4520547945203"/>
  </r>
  <r>
    <m/>
    <m/>
    <x v="10"/>
    <x v="2"/>
    <x v="223"/>
    <n v="140"/>
    <n v="20000"/>
    <n v="0"/>
    <n v="20000"/>
    <s v="SOLES"/>
    <x v="1"/>
    <x v="10"/>
    <x v="0"/>
    <d v="2025-10-10T00:00:00"/>
    <n v="5479.4520547945203"/>
  </r>
  <r>
    <m/>
    <s v="FACT F002-57"/>
    <x v="39"/>
    <x v="2"/>
    <x v="224"/>
    <n v="139"/>
    <n v="283.2"/>
    <n v="0"/>
    <n v="283.2"/>
    <s v="DOLARES"/>
    <x v="1"/>
    <x v="31"/>
    <x v="0"/>
    <d v="2025-10-20T00:00:00"/>
    <n v="283.2"/>
  </r>
  <r>
    <s v="713_8248_3"/>
    <s v="LT 119"/>
    <x v="2"/>
    <x v="3"/>
    <x v="225"/>
    <n v="138"/>
    <n v="4708.88"/>
    <n v="0"/>
    <n v="4708.88"/>
    <s v="SOLES"/>
    <x v="1"/>
    <x v="5"/>
    <x v="0"/>
    <d v="2025-10-10T00:00:00"/>
    <n v="1290.1041095890412"/>
  </r>
  <r>
    <n v="10233185"/>
    <s v="LT 1843"/>
    <x v="66"/>
    <x v="3"/>
    <x v="225"/>
    <n v="138"/>
    <n v="6605.3"/>
    <n v="0"/>
    <n v="6605.3"/>
    <s v="SOLES"/>
    <x v="4"/>
    <x v="19"/>
    <x v="0"/>
    <d v="2025-10-10T00:00:00"/>
    <n v="1809.6712328767123"/>
  </r>
  <r>
    <s v="TASA 12.20%"/>
    <s v="IMPT 180K / Desemb 15/07"/>
    <x v="28"/>
    <x v="3"/>
    <x v="226"/>
    <n v="135"/>
    <n v="185255.33"/>
    <n v="0"/>
    <n v="185255.33"/>
    <s v="SOLES"/>
    <x v="1"/>
    <x v="53"/>
    <x v="0"/>
    <d v="2025-10-14T00:00:00"/>
    <n v="50754.884931506844"/>
  </r>
  <r>
    <s v="TASA 13.54%"/>
    <s v="CUOTA 19 DE 24"/>
    <x v="15"/>
    <x v="2"/>
    <x v="226"/>
    <n v="135"/>
    <n v="4280.91"/>
    <n v="0"/>
    <n v="4280.91"/>
    <s v="SOLES"/>
    <x v="1"/>
    <x v="15"/>
    <x v="0"/>
    <d v="2025-10-13T00:00:00"/>
    <n v="1172.8520547945204"/>
  </r>
  <r>
    <s v="TASA 7.2%"/>
    <s v="CUOTA 10 DE 180"/>
    <x v="54"/>
    <x v="0"/>
    <x v="226"/>
    <n v="135"/>
    <n v="30099.17"/>
    <n v="0"/>
    <n v="30099.17"/>
    <s v="SOLES"/>
    <x v="2"/>
    <x v="15"/>
    <x v="0"/>
    <d v="2025-10-13T00:00:00"/>
    <n v="8246.3479452054798"/>
  </r>
  <r>
    <m/>
    <s v="FACTFF01-7239"/>
    <x v="56"/>
    <x v="2"/>
    <x v="227"/>
    <n v="134"/>
    <n v="259.5"/>
    <n v="0"/>
    <n v="259.5"/>
    <s v="DOLARES"/>
    <x v="1"/>
    <x v="18"/>
    <x v="0"/>
    <d v="2025-10-28T00:00:00"/>
    <n v="259.5"/>
  </r>
  <r>
    <s v="_x000a_716_6380_9"/>
    <s v="LT 121"/>
    <x v="2"/>
    <x v="2"/>
    <x v="227"/>
    <n v="134"/>
    <n v="4723.54"/>
    <n v="0"/>
    <n v="4723.54"/>
    <s v="SOLES"/>
    <x v="1"/>
    <x v="5"/>
    <x v="0"/>
    <d v="2025-10-14T00:00:00"/>
    <n v="1294.1205479452055"/>
  </r>
  <r>
    <m/>
    <s v="SETIEMBRE PERIODO"/>
    <x v="16"/>
    <x v="2"/>
    <x v="227"/>
    <n v="134"/>
    <n v="3850"/>
    <n v="0"/>
    <n v="3850"/>
    <s v="SOLES"/>
    <x v="1"/>
    <x v="1"/>
    <x v="0"/>
    <d v="2025-10-15T00:00:00"/>
    <n v="1054.7945205479452"/>
  </r>
  <r>
    <m/>
    <s v="FACT E001-2440"/>
    <x v="72"/>
    <x v="2"/>
    <x v="227"/>
    <n v="134"/>
    <n v="765.4"/>
    <n v="0"/>
    <n v="765.4"/>
    <s v="DOLARES"/>
    <x v="1"/>
    <x v="18"/>
    <x v="0"/>
    <d v="2025-10-28T00:00:00"/>
    <n v="765.4"/>
  </r>
  <r>
    <m/>
    <s v="FACT F002-180398"/>
    <x v="52"/>
    <x v="3"/>
    <x v="227"/>
    <n v="134"/>
    <n v="519.91"/>
    <n v="0"/>
    <n v="519.91"/>
    <s v="SOLES"/>
    <x v="2"/>
    <x v="45"/>
    <x v="0"/>
    <d v="2025-10-20T00:00:00"/>
    <n v="142.44109589041096"/>
  </r>
  <r>
    <m/>
    <m/>
    <x v="19"/>
    <x v="3"/>
    <x v="228"/>
    <n v="133"/>
    <n v="60000"/>
    <n v="0"/>
    <n v="60000"/>
    <s v="SOLES"/>
    <x v="1"/>
    <x v="17"/>
    <x v="0"/>
    <d v="2025-10-15T00:00:00"/>
    <n v="16438.356164383564"/>
  </r>
  <r>
    <m/>
    <s v="SETIEMBRE PERIODO"/>
    <x v="16"/>
    <x v="3"/>
    <x v="229"/>
    <n v="132"/>
    <n v="3900"/>
    <n v="0"/>
    <n v="3900"/>
    <s v="SOLES"/>
    <x v="1"/>
    <x v="1"/>
    <x v="0"/>
    <d v="2025-10-16T00:00:00"/>
    <n v="1068.4931506849316"/>
  </r>
  <r>
    <m/>
    <s v="CUOTA 7 DE 09"/>
    <x v="55"/>
    <x v="2"/>
    <x v="229"/>
    <n v="132"/>
    <n v="784"/>
    <n v="0"/>
    <n v="784"/>
    <s v="SOLES"/>
    <x v="1"/>
    <x v="1"/>
    <x v="0"/>
    <d v="2025-10-16T00:00:00"/>
    <n v="214.79452054794521"/>
  </r>
  <r>
    <m/>
    <s v="SETIEMBRE PERIODO"/>
    <x v="21"/>
    <x v="3"/>
    <x v="229"/>
    <n v="132"/>
    <n v="8883"/>
    <n v="0"/>
    <n v="8883"/>
    <s v="SOLES"/>
    <x v="1"/>
    <x v="1"/>
    <x v="0"/>
    <d v="2025-10-17T00:00:00"/>
    <n v="2433.6986301369861"/>
  </r>
  <r>
    <s v="_x000a_713_3302_1"/>
    <s v="LETRA 312"/>
    <x v="43"/>
    <x v="4"/>
    <x v="229"/>
    <n v="132"/>
    <n v="17517.97"/>
    <n v="0"/>
    <n v="17517.97"/>
    <s v="SOLES"/>
    <x v="1"/>
    <x v="1"/>
    <x v="0"/>
    <d v="2025-10-16T00:00:00"/>
    <n v="4799.4438356164392"/>
  </r>
  <r>
    <m/>
    <n v="6241625"/>
    <x v="5"/>
    <x v="0"/>
    <x v="229"/>
    <n v="132"/>
    <n v="7.4"/>
    <n v="0"/>
    <n v="7.4"/>
    <s v="SOLES"/>
    <x v="1"/>
    <x v="6"/>
    <x v="0"/>
    <d v="2025-10-14T00:00:00"/>
    <n v="2.0273972602739727"/>
  </r>
  <r>
    <m/>
    <s v="CUOTA 7 DE 09"/>
    <x v="55"/>
    <x v="3"/>
    <x v="230"/>
    <n v="131"/>
    <n v="3930"/>
    <n v="0"/>
    <n v="3930"/>
    <s v="SOLES"/>
    <x v="1"/>
    <x v="1"/>
    <x v="0"/>
    <d v="2025-10-17T00:00:00"/>
    <n v="1076.7123287671234"/>
  </r>
  <r>
    <m/>
    <s v="SETIEMBRE PERIODO"/>
    <x v="16"/>
    <x v="1"/>
    <x v="231"/>
    <n v="128"/>
    <n v="2980"/>
    <n v="0"/>
    <n v="2980"/>
    <s v="SOLES"/>
    <x v="1"/>
    <x v="1"/>
    <x v="0"/>
    <d v="2025-10-22T00:00:00"/>
    <n v="816.43835616438355"/>
  </r>
  <r>
    <s v="713_9427_0"/>
    <s v="LT 7387"/>
    <x v="18"/>
    <x v="2"/>
    <x v="231"/>
    <n v="128"/>
    <n v="2649.1"/>
    <n v="0"/>
    <n v="2649.1"/>
    <s v="DOLARES"/>
    <x v="1"/>
    <x v="16"/>
    <x v="0"/>
    <d v="2025-10-20T00:00:00"/>
    <n v="2649.1"/>
  </r>
  <r>
    <s v="ETA 28/08"/>
    <s v="INVOICE  SGC-13113-0004"/>
    <x v="63"/>
    <x v="2"/>
    <x v="231"/>
    <n v="128"/>
    <n v="30844.799999999999"/>
    <n v="0"/>
    <n v="30844.799999999999"/>
    <s v="DOLARES"/>
    <x v="1"/>
    <x v="28"/>
    <x v="0"/>
    <d v="2025-10-20T00:00:00"/>
    <n v="30844.799999999999"/>
  </r>
  <r>
    <m/>
    <s v="CUOTA 07 DE 09"/>
    <x v="55"/>
    <x v="1"/>
    <x v="232"/>
    <n v="127"/>
    <n v="995"/>
    <n v="0"/>
    <n v="995"/>
    <s v="SOLES"/>
    <x v="1"/>
    <x v="1"/>
    <x v="0"/>
    <d v="2025-10-22T00:00:00"/>
    <n v="272.60273972602738"/>
  </r>
  <r>
    <s v="CHP-029"/>
    <s v="CUOTA 02 DE 04"/>
    <x v="46"/>
    <x v="3"/>
    <x v="232"/>
    <n v="127"/>
    <n v="211.71"/>
    <n v="0"/>
    <n v="211.71"/>
    <s v="DOLARES"/>
    <x v="1"/>
    <x v="40"/>
    <x v="0"/>
    <d v="2025-10-22T00:00:00"/>
    <n v="211.71"/>
  </r>
  <r>
    <m/>
    <s v="2749963 SUMINISTRO"/>
    <x v="9"/>
    <x v="2"/>
    <x v="232"/>
    <n v="127"/>
    <n v="10210.5"/>
    <n v="0"/>
    <n v="10210.5"/>
    <s v="SOLES"/>
    <x v="1"/>
    <x v="27"/>
    <x v="0"/>
    <d v="2025-10-22T00:00:00"/>
    <n v="2797.3972602739727"/>
  </r>
  <r>
    <m/>
    <s v="SETIEMBRE PERIODO"/>
    <x v="73"/>
    <x v="3"/>
    <x v="232"/>
    <n v="127"/>
    <n v="8791"/>
    <n v="0"/>
    <n v="8791"/>
    <s v="SOLES"/>
    <x v="1"/>
    <x v="56"/>
    <x v="0"/>
    <d v="2025-10-21T00:00:00"/>
    <n v="2408.4931506849316"/>
  </r>
  <r>
    <s v="ETA 16/09"/>
    <s v="INVOICE  ELK-250619-5k"/>
    <x v="37"/>
    <x v="2"/>
    <x v="232"/>
    <n v="127"/>
    <n v="68800"/>
    <n v="0"/>
    <n v="68800"/>
    <s v="DOLARES"/>
    <x v="1"/>
    <x v="30"/>
    <x v="0"/>
    <d v="2025-10-29T00:00:00"/>
    <n v="68800"/>
  </r>
  <r>
    <m/>
    <s v="FACT F002-73"/>
    <x v="39"/>
    <x v="2"/>
    <x v="233"/>
    <n v="126"/>
    <n v="472"/>
    <n v="0"/>
    <n v="472"/>
    <s v="DOLARES"/>
    <x v="1"/>
    <x v="34"/>
    <x v="0"/>
    <d v="2025-10-31T00:00:00"/>
    <n v="472"/>
  </r>
  <r>
    <s v="713_7999_9"/>
    <s v="LETRA 09710-11-00"/>
    <x v="23"/>
    <x v="3"/>
    <x v="234"/>
    <n v="125"/>
    <n v="2618"/>
    <n v="0"/>
    <n v="2618"/>
    <s v="DOLARES"/>
    <x v="1"/>
    <x v="19"/>
    <x v="0"/>
    <d v="2025-10-23T00:00:00"/>
    <n v="2618"/>
  </r>
  <r>
    <n v="2412501340"/>
    <s v="LT 1001"/>
    <x v="38"/>
    <x v="3"/>
    <x v="235"/>
    <n v="124"/>
    <n v="40738.32"/>
    <n v="0"/>
    <n v="40738.32"/>
    <s v="DOLARES"/>
    <x v="2"/>
    <x v="25"/>
    <x v="0"/>
    <d v="2025-10-24T00:00:00"/>
    <n v="40738.32"/>
  </r>
  <r>
    <s v="ETA 25/10"/>
    <s v="INVOICE CNW2508AA"/>
    <x v="71"/>
    <x v="2"/>
    <x v="235"/>
    <n v="124"/>
    <n v="17696.37"/>
    <n v="0"/>
    <n v="17696.37"/>
    <s v="SOLES"/>
    <x v="1"/>
    <x v="49"/>
    <x v="0"/>
    <d v="2025-10-24T00:00:00"/>
    <n v="4848.3205479452054"/>
  </r>
  <r>
    <m/>
    <s v="CUOTA 17 DE 33"/>
    <x v="29"/>
    <x v="1"/>
    <x v="235"/>
    <n v="124"/>
    <n v="11778.38"/>
    <n v="0"/>
    <n v="11778.38"/>
    <s v="SOLES"/>
    <x v="2"/>
    <x v="15"/>
    <x v="0"/>
    <d v="2025-10-24T00:00:00"/>
    <n v="3226.953424657534"/>
  </r>
  <r>
    <s v="_x000a_718_7936_7"/>
    <s v="LT 122"/>
    <x v="2"/>
    <x v="2"/>
    <x v="236"/>
    <n v="123"/>
    <n v="5579.04"/>
    <n v="0"/>
    <n v="5579.04"/>
    <s v="SOLES"/>
    <x v="1"/>
    <x v="5"/>
    <x v="0"/>
    <d v="2025-10-25T00:00:00"/>
    <n v="1528.504109589041"/>
  </r>
  <r>
    <m/>
    <s v="FACT E001-1588"/>
    <x v="40"/>
    <x v="2"/>
    <x v="236"/>
    <n v="123"/>
    <n v="2700"/>
    <n v="0"/>
    <n v="2700"/>
    <s v="SOLES"/>
    <x v="1"/>
    <x v="33"/>
    <x v="0"/>
    <d v="2025-11-04T00:00:00"/>
    <n v="739.72602739726028"/>
  </r>
  <r>
    <s v="ETA 28/10"/>
    <s v="INVOICE ELK-250911-3K"/>
    <x v="71"/>
    <x v="2"/>
    <x v="237"/>
    <n v="120"/>
    <n v="57000"/>
    <n v="0"/>
    <n v="57000"/>
    <s v="SOLES"/>
    <x v="1"/>
    <x v="51"/>
    <x v="0"/>
    <d v="2025-10-28T00:00:00"/>
    <n v="15616.438356164384"/>
  </r>
  <r>
    <s v="718_3450_3"/>
    <s v="FACT F001-83329"/>
    <x v="11"/>
    <x v="3"/>
    <x v="238"/>
    <n v="121"/>
    <n v="7729"/>
    <n v="0"/>
    <n v="7729"/>
    <s v="DOLARES"/>
    <x v="1"/>
    <x v="11"/>
    <x v="0"/>
    <d v="2025-10-27T00:00:00"/>
    <n v="7729"/>
  </r>
  <r>
    <s v="TASA 8.9%"/>
    <s v="CUOTA 65 DE 114"/>
    <x v="33"/>
    <x v="3"/>
    <x v="237"/>
    <n v="120"/>
    <n v="23680.68"/>
    <n v="0"/>
    <n v="23680.68"/>
    <s v="SOLES"/>
    <x v="1"/>
    <x v="15"/>
    <x v="0"/>
    <d v="2025-10-29T00:00:00"/>
    <n v="6487.8575342465756"/>
  </r>
  <r>
    <s v="_x000a_716_8782_2"/>
    <s v="LT 1724-2025"/>
    <x v="14"/>
    <x v="3"/>
    <x v="237"/>
    <n v="120"/>
    <n v="19501.41"/>
    <n v="0"/>
    <n v="19501.41"/>
    <s v="SOLES"/>
    <x v="1"/>
    <x v="13"/>
    <x v="0"/>
    <d v="2025-10-28T00:00:00"/>
    <n v="5342.8520547945209"/>
  </r>
  <r>
    <s v="TASA 15%"/>
    <s v="CUOTA 10 DE 24"/>
    <x v="35"/>
    <x v="1"/>
    <x v="239"/>
    <n v="118"/>
    <n v="9768.16"/>
    <n v="0"/>
    <n v="9768.16"/>
    <s v="SOLES"/>
    <x v="1"/>
    <x v="15"/>
    <x v="0"/>
    <d v="2025-10-30T00:00:00"/>
    <n v="2676.2082191780823"/>
  </r>
  <r>
    <s v="ETA 31/10"/>
    <s v="INVOICE FT 62025-0649"/>
    <x v="71"/>
    <x v="1"/>
    <x v="239"/>
    <n v="118"/>
    <n v="73000"/>
    <n v="0"/>
    <n v="73000"/>
    <s v="SOLES"/>
    <x v="1"/>
    <x v="23"/>
    <x v="0"/>
    <d v="2025-10-30T00:00:00"/>
    <n v="20000"/>
  </r>
  <r>
    <s v="ETA 07/11"/>
    <s v="INVOICE FT 62025-0020"/>
    <x v="71"/>
    <x v="3"/>
    <x v="239"/>
    <n v="118"/>
    <n v="36576"/>
    <n v="0"/>
    <n v="36576"/>
    <s v="SOLES"/>
    <x v="1"/>
    <x v="23"/>
    <x v="0"/>
    <d v="2025-10-31T00:00:00"/>
    <n v="10020.82191780822"/>
  </r>
  <r>
    <m/>
    <m/>
    <x v="19"/>
    <x v="3"/>
    <x v="240"/>
    <n v="117"/>
    <n v="60000"/>
    <n v="0"/>
    <n v="60000"/>
    <s v="SOLES"/>
    <x v="1"/>
    <x v="17"/>
    <x v="0"/>
    <d v="2025-10-31T00:00:00"/>
    <n v="16438.356164383564"/>
  </r>
  <r>
    <m/>
    <s v="FACT F001-12657"/>
    <x v="6"/>
    <x v="2"/>
    <x v="240"/>
    <n v="117"/>
    <n v="5040"/>
    <n v="0"/>
    <n v="5040"/>
    <s v="SOLES"/>
    <x v="1"/>
    <x v="7"/>
    <x v="0"/>
    <d v="2025-11-13T00:00:00"/>
    <n v="1380.8219178082193"/>
  </r>
  <r>
    <s v="719_9098_5"/>
    <s v="LT 123"/>
    <x v="2"/>
    <x v="2"/>
    <x v="241"/>
    <n v="115"/>
    <n v="1020"/>
    <n v="0"/>
    <n v="1020"/>
    <s v="SOLES"/>
    <x v="1"/>
    <x v="5"/>
    <x v="0"/>
    <d v="2025-10-31T00:00:00"/>
    <n v="279.45205479452056"/>
  </r>
  <r>
    <m/>
    <s v="FACT F002-182116"/>
    <x v="52"/>
    <x v="3"/>
    <x v="241"/>
    <n v="115"/>
    <n v="126.26"/>
    <n v="0"/>
    <n v="126.26"/>
    <s v="SOLES"/>
    <x v="2"/>
    <x v="45"/>
    <x v="0"/>
    <d v="2025-11-04T00:00:00"/>
    <n v="34.591780821917808"/>
  </r>
  <r>
    <m/>
    <n v="6241630"/>
    <x v="5"/>
    <x v="2"/>
    <x v="242"/>
    <n v="114"/>
    <n v="62.1"/>
    <n v="0"/>
    <n v="62.1"/>
    <s v="SOLES"/>
    <x v="1"/>
    <x v="6"/>
    <x v="0"/>
    <d v="2025-11-04T00:00:00"/>
    <n v="17.013698630136986"/>
  </r>
  <r>
    <m/>
    <n v="6241635"/>
    <x v="5"/>
    <x v="3"/>
    <x v="242"/>
    <n v="114"/>
    <n v="1634"/>
    <n v="0"/>
    <n v="1634"/>
    <s v="SOLES"/>
    <x v="1"/>
    <x v="6"/>
    <x v="0"/>
    <d v="2025-11-04T00:00:00"/>
    <n v="447.67123287671234"/>
  </r>
  <r>
    <s v="CLP-464"/>
    <s v="CUOTA 02 DE 04"/>
    <x v="46"/>
    <x v="2"/>
    <x v="243"/>
    <n v="112"/>
    <n v="224.36"/>
    <n v="0"/>
    <n v="224.36"/>
    <s v="DOLARES"/>
    <x v="1"/>
    <x v="40"/>
    <x v="0"/>
    <d v="2025-11-05T00:00:00"/>
    <n v="224.36"/>
  </r>
  <r>
    <m/>
    <s v="S002-197101705 RECIBO"/>
    <x v="53"/>
    <x v="3"/>
    <x v="243"/>
    <n v="112"/>
    <n v="284.39999999999998"/>
    <n v="0"/>
    <n v="284.39999999999998"/>
    <s v="SOLES"/>
    <x v="1"/>
    <x v="57"/>
    <x v="0"/>
    <d v="2025-11-06T00:00:00"/>
    <n v="77.917808219178085"/>
  </r>
  <r>
    <m/>
    <s v="1975640 SUMINISTRO"/>
    <x v="9"/>
    <x v="3"/>
    <x v="244"/>
    <n v="111"/>
    <n v="219"/>
    <n v="0"/>
    <n v="219"/>
    <s v="SOLES"/>
    <x v="1"/>
    <x v="27"/>
    <x v="0"/>
    <d v="2025-11-06T00:00:00"/>
    <n v="60"/>
  </r>
  <r>
    <m/>
    <s v="0883909 SUMNISTRO"/>
    <x v="9"/>
    <x v="3"/>
    <x v="244"/>
    <n v="111"/>
    <n v="1810"/>
    <n v="0"/>
    <n v="1810"/>
    <s v="SOLES"/>
    <x v="1"/>
    <x v="27"/>
    <x v="0"/>
    <d v="2025-11-06T00:00:00"/>
    <n v="495.89041095890411"/>
  </r>
  <r>
    <s v="715_8929_9"/>
    <s v="LT 09769-11-00"/>
    <x v="23"/>
    <x v="2"/>
    <x v="244"/>
    <n v="111"/>
    <n v="7537.32"/>
    <n v="0"/>
    <n v="7537.32"/>
    <s v="DOLARES"/>
    <x v="1"/>
    <x v="19"/>
    <x v="0"/>
    <d v="2025-11-06T00:00:00"/>
    <n v="7537.32"/>
  </r>
  <r>
    <s v="_x000a_718_0204_3"/>
    <s v="LT 09770-11-00"/>
    <x v="23"/>
    <x v="2"/>
    <x v="244"/>
    <n v="111"/>
    <n v="2518.0500000000002"/>
    <n v="0"/>
    <n v="2518.0500000000002"/>
    <s v="DOLARES"/>
    <x v="1"/>
    <x v="19"/>
    <x v="0"/>
    <d v="2025-11-06T00:00:00"/>
    <n v="2518.0500000000002"/>
  </r>
  <r>
    <m/>
    <s v="OCTUBRE PERIODO"/>
    <x v="7"/>
    <x v="2"/>
    <x v="245"/>
    <n v="110"/>
    <n v="4355"/>
    <n v="0"/>
    <n v="4355"/>
    <s v="SOLES"/>
    <x v="1"/>
    <x v="8"/>
    <x v="0"/>
    <d v="2025-11-07T00:00:00"/>
    <n v="1193.1506849315069"/>
  </r>
  <r>
    <m/>
    <s v="OCTUBRE PERIODO"/>
    <x v="7"/>
    <x v="1"/>
    <x v="245"/>
    <n v="110"/>
    <n v="450"/>
    <n v="0"/>
    <n v="450"/>
    <s v="SOLES"/>
    <x v="1"/>
    <x v="8"/>
    <x v="0"/>
    <d v="2025-11-07T00:00:00"/>
    <n v="123.28767123287672"/>
  </r>
  <r>
    <m/>
    <s v="OCTUBRE PERIODO"/>
    <x v="8"/>
    <x v="2"/>
    <x v="245"/>
    <n v="110"/>
    <n v="2700"/>
    <n v="0"/>
    <n v="2700"/>
    <s v="SOLES"/>
    <x v="1"/>
    <x v="54"/>
    <x v="0"/>
    <d v="2025-11-07T00:00:00"/>
    <n v="739.72602739726028"/>
  </r>
  <r>
    <m/>
    <s v="OCTUBRE PERIODO"/>
    <x v="8"/>
    <x v="3"/>
    <x v="245"/>
    <n v="110"/>
    <n v="1260"/>
    <n v="0"/>
    <n v="1260"/>
    <s v="SOLES"/>
    <x v="1"/>
    <x v="54"/>
    <x v="0"/>
    <d v="2025-11-07T00:00:00"/>
    <n v="345.20547945205482"/>
  </r>
  <r>
    <m/>
    <s v="OCTUBRE PERIODO"/>
    <x v="8"/>
    <x v="1"/>
    <x v="245"/>
    <n v="110"/>
    <n v="1250"/>
    <n v="0"/>
    <n v="1250"/>
    <s v="SOLES"/>
    <x v="1"/>
    <x v="54"/>
    <x v="0"/>
    <d v="2025-11-07T00:00:00"/>
    <n v="342.46575342465752"/>
  </r>
  <r>
    <m/>
    <m/>
    <x v="10"/>
    <x v="3"/>
    <x v="246"/>
    <n v="109"/>
    <n v="20000"/>
    <n v="0"/>
    <n v="20000"/>
    <s v="SOLES"/>
    <x v="1"/>
    <x v="10"/>
    <x v="0"/>
    <d v="2025-11-10T00:00:00"/>
    <n v="5479.4520547945203"/>
  </r>
  <r>
    <m/>
    <m/>
    <x v="10"/>
    <x v="2"/>
    <x v="246"/>
    <n v="109"/>
    <n v="20000"/>
    <n v="0"/>
    <n v="20000"/>
    <s v="SOLES"/>
    <x v="1"/>
    <x v="10"/>
    <x v="0"/>
    <d v="2025-11-10T00:00:00"/>
    <n v="5479.4520547945203"/>
  </r>
  <r>
    <s v="715_8930_0"/>
    <s v="LT 09772-11-00"/>
    <x v="23"/>
    <x v="3"/>
    <x v="247"/>
    <n v="108"/>
    <n v="7977.26"/>
    <n v="0"/>
    <n v="7977.26"/>
    <s v="DOLARES"/>
    <x v="1"/>
    <x v="19"/>
    <x v="0"/>
    <d v="2025-11-08T00:00:00"/>
    <n v="7977.26"/>
  </r>
  <r>
    <s v="720_5881_8"/>
    <s v="LT 2325"/>
    <x v="22"/>
    <x v="2"/>
    <x v="247"/>
    <n v="108"/>
    <n v="1026.5999999999999"/>
    <n v="0"/>
    <n v="1026.5999999999999"/>
    <s v="DOLARES"/>
    <x v="1"/>
    <x v="18"/>
    <x v="0"/>
    <d v="2025-11-08T00:00:00"/>
    <n v="1026.5999999999999"/>
  </r>
  <r>
    <s v="ETA 29/09"/>
    <s v="INVOICE SGC-13113-0003"/>
    <x v="63"/>
    <x v="2"/>
    <x v="248"/>
    <n v="105"/>
    <n v="50277"/>
    <n v="0"/>
    <n v="50277"/>
    <s v="DOLARES"/>
    <x v="1"/>
    <x v="25"/>
    <x v="0"/>
    <d v="2025-11-13T00:00:00"/>
    <n v="50277"/>
  </r>
  <r>
    <s v="TASA 13.54%"/>
    <s v="CUOTA 20 DE 24"/>
    <x v="15"/>
    <x v="2"/>
    <x v="249"/>
    <n v="104"/>
    <n v="4280.91"/>
    <n v="0"/>
    <n v="4280.91"/>
    <s v="SOLES"/>
    <x v="1"/>
    <x v="15"/>
    <x v="0"/>
    <d v="2025-11-13T00:00:00"/>
    <n v="1172.8520547945204"/>
  </r>
  <r>
    <s v="TASA 7.2%"/>
    <s v="CUOTA 11 DE 180"/>
    <x v="54"/>
    <x v="0"/>
    <x v="249"/>
    <n v="104"/>
    <n v="30099.17"/>
    <n v="0"/>
    <n v="30099.17"/>
    <s v="SOLES"/>
    <x v="2"/>
    <x v="15"/>
    <x v="0"/>
    <d v="2025-11-13T00:00:00"/>
    <n v="8246.3479452054798"/>
  </r>
  <r>
    <s v="_x000a_718_5823_7"/>
    <s v="LT 2025-062"/>
    <x v="44"/>
    <x v="2"/>
    <x v="249"/>
    <n v="104"/>
    <n v="1186.1500000000001"/>
    <n v="0"/>
    <n v="1186.1500000000001"/>
    <s v="DOLARES"/>
    <x v="1"/>
    <x v="38"/>
    <x v="0"/>
    <d v="2025-11-13T00:00:00"/>
    <n v="1186.1500000000001"/>
  </r>
  <r>
    <m/>
    <s v="FACT F002-93"/>
    <x v="39"/>
    <x v="2"/>
    <x v="250"/>
    <n v="103"/>
    <n v="566.4"/>
    <n v="0"/>
    <n v="566.4"/>
    <s v="DOLARES"/>
    <x v="1"/>
    <x v="58"/>
    <x v="0"/>
    <d v="2025-11-25T00:00:00"/>
    <n v="566.4"/>
  </r>
  <r>
    <m/>
    <s v="FACT E001-660"/>
    <x v="74"/>
    <x v="2"/>
    <x v="250"/>
    <n v="103"/>
    <n v="1768.17"/>
    <n v="0"/>
    <n v="1768.17"/>
    <s v="SOLES"/>
    <x v="1"/>
    <x v="19"/>
    <x v="0"/>
    <d v="2025-11-25T00:00:00"/>
    <n v="484.43013698630142"/>
  </r>
  <r>
    <m/>
    <s v="OCTUBRE PERIODO"/>
    <x v="16"/>
    <x v="2"/>
    <x v="250"/>
    <n v="103"/>
    <n v="4070"/>
    <n v="0"/>
    <n v="4070"/>
    <s v="SOLES"/>
    <x v="1"/>
    <x v="1"/>
    <x v="0"/>
    <d v="2025-11-14T00:00:00"/>
    <n v="1115.0684931506851"/>
  </r>
  <r>
    <m/>
    <s v="OCTUBRE PERIODO"/>
    <x v="16"/>
    <x v="3"/>
    <x v="251"/>
    <n v="102"/>
    <n v="4020"/>
    <n v="0"/>
    <n v="4020"/>
    <s v="SOLES"/>
    <x v="1"/>
    <x v="1"/>
    <x v="0"/>
    <d v="2025-11-14T00:00:00"/>
    <n v="1101.3698630136987"/>
  </r>
  <r>
    <m/>
    <s v="FACT F002-183138"/>
    <x v="52"/>
    <x v="3"/>
    <x v="251"/>
    <n v="102"/>
    <n v="519.91"/>
    <n v="0"/>
    <n v="519.91"/>
    <s v="SOLES"/>
    <x v="2"/>
    <x v="45"/>
    <x v="0"/>
    <d v="2025-11-18T00:00:00"/>
    <n v="142.44109589041096"/>
  </r>
  <r>
    <m/>
    <m/>
    <x v="19"/>
    <x v="3"/>
    <x v="251"/>
    <n v="102"/>
    <n v="60000"/>
    <n v="0"/>
    <n v="60000"/>
    <s v="SOLES"/>
    <x v="1"/>
    <x v="17"/>
    <x v="0"/>
    <d v="2025-11-15T00:00:00"/>
    <n v="16438.356164383564"/>
  </r>
  <r>
    <m/>
    <s v="OCTUBRE PERIODO"/>
    <x v="20"/>
    <x v="0"/>
    <x v="252"/>
    <n v="101"/>
    <n v="2625"/>
    <n v="0"/>
    <n v="2625"/>
    <s v="SOLES"/>
    <x v="1"/>
    <x v="1"/>
    <x v="0"/>
    <d v="2025-11-18T00:00:00"/>
    <n v="719.17808219178085"/>
  </r>
  <r>
    <m/>
    <s v="CUOTA 8 DE 09"/>
    <x v="55"/>
    <x v="2"/>
    <x v="253"/>
    <n v="100"/>
    <n v="784"/>
    <n v="0"/>
    <n v="784"/>
    <s v="SOLES"/>
    <x v="2"/>
    <x v="1"/>
    <x v="0"/>
    <d v="2025-11-17T00:00:00"/>
    <n v="214.79452054794521"/>
  </r>
  <r>
    <m/>
    <s v="CUOTA 8 DE 09"/>
    <x v="55"/>
    <x v="3"/>
    <x v="254"/>
    <n v="99"/>
    <n v="3930"/>
    <n v="0"/>
    <n v="3930"/>
    <s v="SOLES"/>
    <x v="2"/>
    <x v="1"/>
    <x v="0"/>
    <d v="2025-11-19T00:00:00"/>
    <n v="1076.7123287671234"/>
  </r>
  <r>
    <s v="718_0866_5"/>
    <s v="LT 7445"/>
    <x v="18"/>
    <x v="2"/>
    <x v="254"/>
    <n v="99"/>
    <n v="2852.65"/>
    <n v="0"/>
    <n v="2852.65"/>
    <s v="DOLARES"/>
    <x v="1"/>
    <x v="16"/>
    <x v="0"/>
    <d v="2025-11-18T00:00:00"/>
    <n v="2852.65"/>
  </r>
  <r>
    <m/>
    <s v="LT E001-161"/>
    <x v="41"/>
    <x v="2"/>
    <x v="254"/>
    <n v="99"/>
    <n v="2998.38"/>
    <n v="0"/>
    <n v="2998.38"/>
    <s v="SOLES"/>
    <x v="1"/>
    <x v="35"/>
    <x v="0"/>
    <d v="2025-12-01T00:00:00"/>
    <n v="821.47397260273976"/>
  </r>
  <r>
    <m/>
    <s v="OCTUBRE PERIODO"/>
    <x v="16"/>
    <x v="1"/>
    <x v="255"/>
    <n v="98"/>
    <n v="2790"/>
    <n v="0"/>
    <n v="2790"/>
    <s v="SOLES"/>
    <x v="1"/>
    <x v="1"/>
    <x v="0"/>
    <d v="2025-11-19T00:00:00"/>
    <n v="764.38356164383561"/>
  </r>
  <r>
    <m/>
    <s v="ETA 20/11"/>
    <x v="71"/>
    <x v="2"/>
    <x v="255"/>
    <n v="98"/>
    <n v="42795"/>
    <n v="0"/>
    <n v="42795"/>
    <s v="SOLES"/>
    <x v="1"/>
    <x v="42"/>
    <x v="0"/>
    <d v="2025-11-19T00:00:00"/>
    <n v="11724.657534246575"/>
  </r>
  <r>
    <m/>
    <s v="CUOTA 08 DE 09"/>
    <x v="55"/>
    <x v="1"/>
    <x v="256"/>
    <n v="97"/>
    <n v="995"/>
    <n v="0"/>
    <n v="995"/>
    <s v="SOLES"/>
    <x v="1"/>
    <x v="1"/>
    <x v="0"/>
    <d v="2025-11-20T00:00:00"/>
    <n v="272.60273972602738"/>
  </r>
  <r>
    <n v="10238864"/>
    <s v="LT 7447"/>
    <x v="18"/>
    <x v="3"/>
    <x v="256"/>
    <n v="97"/>
    <n v="2788.25"/>
    <n v="0"/>
    <n v="2788.25"/>
    <s v="DOLARES"/>
    <x v="4"/>
    <x v="28"/>
    <x v="0"/>
    <d v="2025-11-20T00:00:00"/>
    <n v="2788.25"/>
  </r>
  <r>
    <m/>
    <s v="2749963 SUMINISTRO"/>
    <x v="9"/>
    <x v="2"/>
    <x v="256"/>
    <n v="97"/>
    <n v="9547"/>
    <n v="0"/>
    <n v="9547"/>
    <s v="SOLES"/>
    <x v="1"/>
    <x v="27"/>
    <x v="0"/>
    <d v="2025-11-20T00:00:00"/>
    <n v="2615.6164383561645"/>
  </r>
  <r>
    <s v="CHP-029"/>
    <s v="CUOTA 03 DE 04"/>
    <x v="46"/>
    <x v="3"/>
    <x v="257"/>
    <n v="96"/>
    <n v="211.71"/>
    <n v="0"/>
    <n v="211.71"/>
    <s v="DOLARES"/>
    <x v="1"/>
    <x v="40"/>
    <x v="0"/>
    <d v="2025-11-20T00:00:00"/>
    <n v="211.71"/>
  </r>
  <r>
    <m/>
    <s v="JULIO PERIODO"/>
    <x v="1"/>
    <x v="1"/>
    <x v="257"/>
    <n v="96"/>
    <n v="20261"/>
    <n v="0"/>
    <n v="20261"/>
    <s v="SOLES"/>
    <x v="1"/>
    <x v="1"/>
    <x v="0"/>
    <d v="2025-11-23T00:00:00"/>
    <n v="5550.9589041095887"/>
  </r>
  <r>
    <m/>
    <s v="FACT E001-438"/>
    <x v="30"/>
    <x v="2"/>
    <x v="257"/>
    <n v="96"/>
    <n v="500"/>
    <n v="0"/>
    <n v="500"/>
    <s v="SOLES"/>
    <x v="1"/>
    <x v="20"/>
    <x v="0"/>
    <d v="2025-12-01T00:00:00"/>
    <n v="136.98630136986301"/>
  </r>
  <r>
    <m/>
    <s v="FACT E001-439"/>
    <x v="30"/>
    <x v="3"/>
    <x v="257"/>
    <n v="96"/>
    <n v="557"/>
    <n v="0"/>
    <n v="557"/>
    <s v="SOLES"/>
    <x v="1"/>
    <x v="20"/>
    <x v="0"/>
    <d v="2025-12-01T00:00:00"/>
    <n v="152.60273972602741"/>
  </r>
  <r>
    <m/>
    <s v="OCTUBRE PERIODO"/>
    <x v="73"/>
    <x v="3"/>
    <x v="258"/>
    <n v="95"/>
    <n v="5973"/>
    <n v="0"/>
    <n v="5973"/>
    <s v="SOLES"/>
    <x v="1"/>
    <x v="1"/>
    <x v="0"/>
    <d v="2025-11-23T00:00:00"/>
    <n v="1636.4383561643835"/>
  </r>
  <r>
    <m/>
    <s v="ETA 27/11"/>
    <x v="71"/>
    <x v="2"/>
    <x v="259"/>
    <n v="91"/>
    <n v="27000"/>
    <n v="0"/>
    <n v="27000"/>
    <s v="SOLES"/>
    <x v="1"/>
    <x v="24"/>
    <x v="0"/>
    <d v="2025-11-26T00:00:00"/>
    <n v="7397.2602739726026"/>
  </r>
  <r>
    <m/>
    <s v="CUOTA 18 DE 33"/>
    <x v="29"/>
    <x v="1"/>
    <x v="260"/>
    <n v="93"/>
    <n v="11778.38"/>
    <n v="0"/>
    <n v="11778.38"/>
    <s v="SOLES"/>
    <x v="2"/>
    <x v="15"/>
    <x v="0"/>
    <d v="2025-11-24T00:00:00"/>
    <n v="3226.953424657534"/>
  </r>
  <r>
    <s v="VENCE 27/11"/>
    <s v="C3S-910"/>
    <x v="3"/>
    <x v="2"/>
    <x v="259"/>
    <n v="91"/>
    <n v="160"/>
    <n v="0"/>
    <n v="160"/>
    <s v="SOLES"/>
    <x v="1"/>
    <x v="3"/>
    <x v="0"/>
    <d v="2025-11-26T00:00:00"/>
    <n v="43.835616438356162"/>
  </r>
  <r>
    <s v="_x000a_720_3534_2"/>
    <s v="LT 09842-11-00"/>
    <x v="23"/>
    <x v="3"/>
    <x v="261"/>
    <n v="90"/>
    <n v="8658.75"/>
    <n v="0"/>
    <n v="8658.75"/>
    <s v="DOLARES"/>
    <x v="1"/>
    <x v="19"/>
    <x v="0"/>
    <d v="2025-11-27T00:00:00"/>
    <n v="8658.75"/>
  </r>
  <r>
    <s v="VENCE 29/11"/>
    <s v="F1Q-842"/>
    <x v="3"/>
    <x v="3"/>
    <x v="262"/>
    <n v="89"/>
    <n v="149"/>
    <n v="0"/>
    <n v="149"/>
    <s v="SOLES"/>
    <x v="1"/>
    <x v="3"/>
    <x v="0"/>
    <d v="2025-11-28T00:00:00"/>
    <n v="40.821917808219176"/>
  </r>
  <r>
    <s v="CHP-029"/>
    <s v="CUOTA 04 DE 04"/>
    <x v="45"/>
    <x v="3"/>
    <x v="262"/>
    <n v="89"/>
    <n v="371.85"/>
    <n v="0"/>
    <n v="371.85"/>
    <s v="SOLES"/>
    <x v="1"/>
    <x v="39"/>
    <x v="0"/>
    <d v="2025-11-28T00:00:00"/>
    <n v="101.87671232876713"/>
  </r>
  <r>
    <s v="CLP-464"/>
    <s v="CUOTA 04 DE 04"/>
    <x v="45"/>
    <x v="2"/>
    <x v="262"/>
    <n v="89"/>
    <n v="300"/>
    <n v="0"/>
    <n v="300"/>
    <s v="SOLES"/>
    <x v="1"/>
    <x v="39"/>
    <x v="0"/>
    <d v="2025-11-28T00:00:00"/>
    <n v="82.191780821917817"/>
  </r>
  <r>
    <s v="722_3723_7"/>
    <s v="FACT F001-84216"/>
    <x v="11"/>
    <x v="3"/>
    <x v="262"/>
    <n v="89"/>
    <n v="7729"/>
    <n v="0"/>
    <n v="7729"/>
    <s v="DOLARES"/>
    <x v="1"/>
    <x v="11"/>
    <x v="0"/>
    <d v="2025-11-28T00:00:00"/>
    <n v="7729"/>
  </r>
  <r>
    <s v="TASA 8.9%"/>
    <s v="CUOTA 66 DE 114"/>
    <x v="33"/>
    <x v="3"/>
    <x v="262"/>
    <n v="89"/>
    <n v="23987.37"/>
    <n v="0"/>
    <n v="23987.37"/>
    <s v="SOLES"/>
    <x v="1"/>
    <x v="15"/>
    <x v="0"/>
    <d v="2025-11-28T00:00:00"/>
    <n v="6571.8821917808218"/>
  </r>
  <r>
    <s v="VENCE 30/11"/>
    <s v="BML-739"/>
    <x v="3"/>
    <x v="1"/>
    <x v="263"/>
    <n v="88"/>
    <n v="300"/>
    <n v="0"/>
    <n v="160"/>
    <s v="SOLES"/>
    <x v="1"/>
    <x v="3"/>
    <x v="0"/>
    <d v="2025-11-29T00:00:00"/>
    <n v="43.835616438356162"/>
  </r>
  <r>
    <s v="TASA 15%"/>
    <s v="CUOTA 11 DE 24"/>
    <x v="35"/>
    <x v="1"/>
    <x v="264"/>
    <n v="86"/>
    <n v="9768.16"/>
    <n v="0"/>
    <n v="9768.16"/>
    <s v="SOLES"/>
    <x v="1"/>
    <x v="15"/>
    <x v="0"/>
    <d v="2025-12-01T00:00:00"/>
    <n v="2676.2082191780823"/>
  </r>
  <r>
    <m/>
    <m/>
    <x v="19"/>
    <x v="1"/>
    <x v="264"/>
    <n v="86"/>
    <n v="16000"/>
    <n v="0"/>
    <n v="16000"/>
    <s v="SOLES"/>
    <x v="1"/>
    <x v="17"/>
    <x v="0"/>
    <d v="2025-12-01T00:00:00"/>
    <n v="4383.5616438356165"/>
  </r>
  <r>
    <m/>
    <s v="ETA 08/12"/>
    <x v="71"/>
    <x v="2"/>
    <x v="265"/>
    <n v="87"/>
    <n v="51840"/>
    <n v="0"/>
    <n v="51840"/>
    <s v="SOLES"/>
    <x v="1"/>
    <x v="51"/>
    <x v="0"/>
    <d v="2025-11-27T00:00:00"/>
    <n v="14202.739726027397"/>
  </r>
  <r>
    <m/>
    <m/>
    <x v="19"/>
    <x v="3"/>
    <x v="264"/>
    <n v="86"/>
    <n v="25000"/>
    <n v="0"/>
    <n v="25000"/>
    <s v="SOLES"/>
    <x v="1"/>
    <x v="17"/>
    <x v="0"/>
    <d v="2025-12-01T00:00:00"/>
    <n v="6849.3150684931506"/>
  </r>
  <r>
    <m/>
    <m/>
    <x v="19"/>
    <x v="2"/>
    <x v="264"/>
    <n v="86"/>
    <n v="25000"/>
    <n v="0"/>
    <n v="25000"/>
    <s v="SOLES"/>
    <x v="1"/>
    <x v="17"/>
    <x v="0"/>
    <d v="2025-12-01T00:00:00"/>
    <n v="6849.3150684931506"/>
  </r>
  <r>
    <m/>
    <m/>
    <x v="19"/>
    <x v="0"/>
    <x v="264"/>
    <n v="86"/>
    <n v="12000"/>
    <n v="0"/>
    <n v="12000"/>
    <s v="SOLES"/>
    <x v="1"/>
    <x v="17"/>
    <x v="0"/>
    <d v="2025-12-01T00:00:00"/>
    <n v="3287.6712328767126"/>
  </r>
  <r>
    <s v="ETA 20/12"/>
    <s v="N° YBVS0702"/>
    <x v="75"/>
    <x v="2"/>
    <x v="266"/>
    <n v="85"/>
    <n v="28096.48"/>
    <n v="0"/>
    <n v="28096.48"/>
    <s v="DOLARES"/>
    <x v="1"/>
    <x v="52"/>
    <x v="0"/>
    <d v="2025-12-03T00:00:00"/>
    <n v="28096.48"/>
  </r>
  <r>
    <s v="_x000a_718_5823_8"/>
    <s v="LT 2025-064"/>
    <x v="44"/>
    <x v="2"/>
    <x v="266"/>
    <n v="85"/>
    <n v="1062"/>
    <n v="0"/>
    <n v="1062"/>
    <s v="DOLARES"/>
    <x v="1"/>
    <x v="38"/>
    <x v="0"/>
    <d v="2025-12-02T00:00:00"/>
    <n v="1062"/>
  </r>
  <r>
    <m/>
    <s v="6241635 SUMINISTRO"/>
    <x v="5"/>
    <x v="3"/>
    <x v="266"/>
    <n v="85"/>
    <n v="1470"/>
    <n v="0"/>
    <n v="1470"/>
    <s v="SOLES"/>
    <x v="1"/>
    <x v="6"/>
    <x v="0"/>
    <d v="2025-12-02T00:00:00"/>
    <n v="402.7397260273973"/>
  </r>
  <r>
    <m/>
    <s v="6241630 SUMINISTRO"/>
    <x v="5"/>
    <x v="2"/>
    <x v="266"/>
    <n v="85"/>
    <n v="75.7"/>
    <n v="0"/>
    <n v="75.7"/>
    <s v="SOLES"/>
    <x v="1"/>
    <x v="6"/>
    <x v="0"/>
    <d v="2025-12-02T00:00:00"/>
    <n v="20.739726027397261"/>
  </r>
  <r>
    <m/>
    <s v="FACT F002-121"/>
    <x v="39"/>
    <x v="2"/>
    <x v="267"/>
    <n v="82"/>
    <n v="566.4"/>
    <n v="0"/>
    <n v="566.4"/>
    <s v="DOLARES"/>
    <x v="1"/>
    <x v="58"/>
    <x v="0"/>
    <d v="2025-12-15T00:00:00"/>
    <n v="566.4"/>
  </r>
  <r>
    <m/>
    <s v="S002-201079807"/>
    <x v="53"/>
    <x v="3"/>
    <x v="267"/>
    <n v="82"/>
    <n v="284.39999999999998"/>
    <n v="0"/>
    <n v="284.39999999999998"/>
    <s v="SOLES"/>
    <x v="1"/>
    <x v="57"/>
    <x v="0"/>
    <d v="2025-12-05T00:00:00"/>
    <n v="77.917808219178085"/>
  </r>
  <r>
    <m/>
    <m/>
    <x v="7"/>
    <x v="3"/>
    <x v="267"/>
    <n v="82"/>
    <n v="2100"/>
    <n v="0"/>
    <n v="2100"/>
    <s v="SOLES"/>
    <x v="1"/>
    <x v="1"/>
    <x v="0"/>
    <d v="2025-12-05T00:00:00"/>
    <n v="575.34246575342468"/>
  </r>
  <r>
    <m/>
    <m/>
    <x v="7"/>
    <x v="2"/>
    <x v="267"/>
    <n v="82"/>
    <n v="2119"/>
    <n v="0"/>
    <n v="2119"/>
    <s v="SOLES"/>
    <x v="1"/>
    <x v="1"/>
    <x v="0"/>
    <d v="2025-12-05T00:00:00"/>
    <n v="580.54794520547944"/>
  </r>
  <r>
    <m/>
    <m/>
    <x v="7"/>
    <x v="1"/>
    <x v="267"/>
    <n v="82"/>
    <n v="520"/>
    <n v="0"/>
    <n v="520"/>
    <s v="SOLES"/>
    <x v="1"/>
    <x v="1"/>
    <x v="0"/>
    <d v="2025-12-05T00:00:00"/>
    <n v="142.46575342465755"/>
  </r>
  <r>
    <m/>
    <m/>
    <x v="48"/>
    <x v="3"/>
    <x v="267"/>
    <n v="82"/>
    <n v="90"/>
    <n v="0"/>
    <n v="90"/>
    <s v="SOLES"/>
    <x v="1"/>
    <x v="41"/>
    <x v="0"/>
    <d v="2025-12-05T00:00:00"/>
    <n v="24.657534246575342"/>
  </r>
  <r>
    <m/>
    <s v="NOVIEMBRE PERIODO"/>
    <x v="8"/>
    <x v="2"/>
    <x v="267"/>
    <n v="82"/>
    <n v="2795"/>
    <n v="0"/>
    <n v="2795"/>
    <s v="SOLES"/>
    <x v="1"/>
    <x v="54"/>
    <x v="0"/>
    <d v="2025-12-05T00:00:00"/>
    <n v="765.75342465753431"/>
  </r>
  <r>
    <m/>
    <s v="NOVIEMBRE PERIODO"/>
    <x v="8"/>
    <x v="3"/>
    <x v="267"/>
    <n v="82"/>
    <n v="1350"/>
    <n v="0"/>
    <n v="1350"/>
    <s v="SOLES"/>
    <x v="1"/>
    <x v="54"/>
    <x v="0"/>
    <d v="2025-12-05T00:00:00"/>
    <n v="369.86301369863014"/>
  </r>
  <r>
    <m/>
    <s v="NOVIEMBRE PERIODO"/>
    <x v="8"/>
    <x v="1"/>
    <x v="267"/>
    <n v="82"/>
    <n v="1320"/>
    <n v="0"/>
    <n v="1320"/>
    <s v="SOLES"/>
    <x v="1"/>
    <x v="54"/>
    <x v="0"/>
    <d v="2025-12-05T00:00:00"/>
    <n v="361.64383561643837"/>
  </r>
  <r>
    <m/>
    <s v="FACT F010-31"/>
    <x v="6"/>
    <x v="2"/>
    <x v="268"/>
    <n v="81"/>
    <n v="4000"/>
    <n v="0"/>
    <n v="4000"/>
    <s v="SOLES"/>
    <x v="1"/>
    <x v="7"/>
    <x v="0"/>
    <d v="2025-12-15T00:00:00"/>
    <n v="1095.8904109589041"/>
  </r>
  <r>
    <s v="_x000a_723_8871_2"/>
    <s v="LT 1807-2025"/>
    <x v="14"/>
    <x v="3"/>
    <x v="269"/>
    <n v="80"/>
    <n v="27983.14"/>
    <n v="0"/>
    <n v="27983.14"/>
    <s v="SOLES"/>
    <x v="1"/>
    <x v="13"/>
    <x v="0"/>
    <d v="2025-12-06T00:00:00"/>
    <n v="7666.6136986301372"/>
  </r>
  <r>
    <s v="718_8674_7"/>
    <s v="LT 843"/>
    <x v="43"/>
    <x v="3"/>
    <x v="269"/>
    <n v="80"/>
    <n v="10111.41"/>
    <n v="0"/>
    <n v="10111.41"/>
    <s v="SOLES"/>
    <x v="1"/>
    <x v="59"/>
    <x v="0"/>
    <d v="2025-12-06T00:00:00"/>
    <n v="2770.2493150684932"/>
  </r>
  <r>
    <s v="CLP-464"/>
    <s v="CUOTA 03 DE 04"/>
    <x v="46"/>
    <x v="2"/>
    <x v="270"/>
    <n v="79"/>
    <n v="224.36"/>
    <n v="0"/>
    <n v="224.36"/>
    <s v="DOLARES"/>
    <x v="1"/>
    <x v="40"/>
    <x v="0"/>
    <d v="2025-12-06T00:00:00"/>
    <n v="224.36"/>
  </r>
  <r>
    <m/>
    <s v="FACT E001-153"/>
    <x v="76"/>
    <x v="2"/>
    <x v="269"/>
    <n v="80"/>
    <n v="360"/>
    <n v="0"/>
    <n v="360"/>
    <s v="SOLES"/>
    <x v="1"/>
    <x v="60"/>
    <x v="0"/>
    <d v="2025-12-20T00:00:00"/>
    <n v="98.630136986301366"/>
  </r>
  <r>
    <m/>
    <s v="FACT E001-154"/>
    <x v="76"/>
    <x v="2"/>
    <x v="269"/>
    <n v="80"/>
    <n v="453"/>
    <n v="0"/>
    <n v="453"/>
    <s v="SOLES"/>
    <x v="1"/>
    <x v="60"/>
    <x v="0"/>
    <d v="2025-12-20T00:00:00"/>
    <n v="124.10958904109589"/>
  </r>
  <r>
    <m/>
    <m/>
    <x v="10"/>
    <x v="3"/>
    <x v="270"/>
    <n v="79"/>
    <n v="20000"/>
    <n v="0"/>
    <n v="20000"/>
    <s v="SOLES"/>
    <x v="1"/>
    <x v="10"/>
    <x v="0"/>
    <d v="2025-12-12T00:00:00"/>
    <n v="5479.4520547945203"/>
  </r>
  <r>
    <m/>
    <m/>
    <x v="10"/>
    <x v="2"/>
    <x v="270"/>
    <n v="79"/>
    <n v="20000"/>
    <n v="0"/>
    <n v="20000"/>
    <s v="SOLES"/>
    <x v="1"/>
    <x v="10"/>
    <x v="0"/>
    <d v="2025-12-12T00:00:00"/>
    <n v="5479.4520547945203"/>
  </r>
  <r>
    <n v="2752500883"/>
    <s v="LT 1031"/>
    <x v="49"/>
    <x v="1"/>
    <x v="270"/>
    <n v="79"/>
    <n v="147705.60000000001"/>
    <n v="0"/>
    <n v="147705.60000000001"/>
    <s v="SOLES"/>
    <x v="2"/>
    <x v="52"/>
    <x v="0"/>
    <d v="2025-12-06T00:00:00"/>
    <n v="40467.28767123288"/>
  </r>
  <r>
    <n v="10238865"/>
    <s v="LT 7485"/>
    <x v="18"/>
    <x v="2"/>
    <x v="271"/>
    <n v="78"/>
    <n v="2852.65"/>
    <n v="0"/>
    <n v="2852.65"/>
    <s v="DOLARES"/>
    <x v="4"/>
    <x v="16"/>
    <x v="0"/>
    <d v="2025-12-05T00:00:00"/>
    <n v="2852.65"/>
  </r>
  <r>
    <n v="2752500684"/>
    <s v="LT 1055"/>
    <x v="38"/>
    <x v="1"/>
    <x v="272"/>
    <n v="77"/>
    <n v="29411.03"/>
    <n v="0"/>
    <n v="29411.03"/>
    <s v="DOLARES"/>
    <x v="2"/>
    <x v="14"/>
    <x v="0"/>
    <d v="2025-12-10T00:00:00"/>
    <n v="29411.03"/>
  </r>
  <r>
    <m/>
    <s v="6241625 SUMINISTRO"/>
    <x v="5"/>
    <x v="0"/>
    <x v="272"/>
    <n v="77"/>
    <n v="7.4"/>
    <n v="0"/>
    <n v="7.4"/>
    <s v="SOLES"/>
    <x v="1"/>
    <x v="6"/>
    <x v="0"/>
    <d v="2025-12-10T00:00:00"/>
    <n v="2.0273972602739727"/>
  </r>
  <r>
    <m/>
    <s v="0883907 SUMINISTRO"/>
    <x v="9"/>
    <x v="0"/>
    <x v="272"/>
    <n v="77"/>
    <n v="64"/>
    <n v="0"/>
    <n v="64"/>
    <s v="SOLES"/>
    <x v="1"/>
    <x v="27"/>
    <x v="0"/>
    <d v="2025-12-10T00:00:00"/>
    <n v="17.534246575342465"/>
  </r>
  <r>
    <m/>
    <s v="0883909 SUMNISTRO"/>
    <x v="9"/>
    <x v="3"/>
    <x v="272"/>
    <n v="77"/>
    <n v="1664.5"/>
    <n v="0"/>
    <n v="1664.5"/>
    <s v="SOLES"/>
    <x v="1"/>
    <x v="27"/>
    <x v="0"/>
    <d v="2025-12-10T00:00:00"/>
    <n v="456.02739726027397"/>
  </r>
  <r>
    <m/>
    <s v="1975640 SUMINISTRO"/>
    <x v="9"/>
    <x v="3"/>
    <x v="272"/>
    <n v="77"/>
    <n v="182"/>
    <n v="0"/>
    <n v="182"/>
    <s v="SOLES"/>
    <x v="1"/>
    <x v="27"/>
    <x v="0"/>
    <d v="2025-12-10T00:00:00"/>
    <n v="49.863013698630141"/>
  </r>
  <r>
    <s v="TASA 13.54%"/>
    <s v="CUOTA 21 DE 24"/>
    <x v="15"/>
    <x v="2"/>
    <x v="273"/>
    <n v="74"/>
    <n v="4280.91"/>
    <n v="0"/>
    <n v="4280.91"/>
    <s v="SOLES"/>
    <x v="1"/>
    <x v="15"/>
    <x v="0"/>
    <d v="2025-12-13T00:00:00"/>
    <n v="1172.8520547945204"/>
  </r>
  <r>
    <m/>
    <s v="ETA 14/12 / IV 0006"/>
    <x v="71"/>
    <x v="2"/>
    <x v="273"/>
    <n v="74"/>
    <n v="9933.9"/>
    <n v="0"/>
    <n v="9933.9"/>
    <s v="SOLES"/>
    <x v="1"/>
    <x v="61"/>
    <x v="0"/>
    <d v="2025-12-12T00:00:00"/>
    <n v="2721.6164383561645"/>
  </r>
  <r>
    <m/>
    <s v="ETA 15/12 / IV 0007"/>
    <x v="71"/>
    <x v="2"/>
    <x v="274"/>
    <n v="73"/>
    <n v="74222.44"/>
    <n v="0"/>
    <n v="74222.44"/>
    <s v="SOLES"/>
    <x v="1"/>
    <x v="42"/>
    <x v="0"/>
    <d v="2025-12-12T00:00:00"/>
    <n v="20334.915068493152"/>
  </r>
  <r>
    <m/>
    <s v="FACT F002-185867"/>
    <x v="52"/>
    <x v="3"/>
    <x v="274"/>
    <n v="73"/>
    <n v="519.91"/>
    <n v="0"/>
    <n v="519.91"/>
    <s v="SOLES"/>
    <x v="2"/>
    <x v="1"/>
    <x v="0"/>
    <d v="2025-12-15T00:00:00"/>
    <n v="142.44109589041096"/>
  </r>
  <r>
    <s v="TASA 7.2%"/>
    <s v="CUOTA 12 DE 180"/>
    <x v="54"/>
    <x v="0"/>
    <x v="275"/>
    <n v="72"/>
    <n v="30099.17"/>
    <n v="0"/>
    <n v="30099.17"/>
    <s v="SOLES"/>
    <x v="2"/>
    <x v="15"/>
    <x v="0"/>
    <d v="2025-12-15T00:00:00"/>
    <n v="8246.3479452054798"/>
  </r>
  <r>
    <s v="723_9354_9"/>
    <s v="LETRA 124"/>
    <x v="2"/>
    <x v="2"/>
    <x v="275"/>
    <n v="72"/>
    <n v="6584.4"/>
    <n v="0"/>
    <n v="6584.4"/>
    <s v="SOLES"/>
    <x v="1"/>
    <x v="5"/>
    <x v="0"/>
    <d v="2025-12-15T00:00:00"/>
    <n v="1803.9452054794519"/>
  </r>
  <r>
    <m/>
    <s v="NOVIEMBRE PERIODO"/>
    <x v="16"/>
    <x v="2"/>
    <x v="275"/>
    <n v="72"/>
    <n v="4260"/>
    <n v="0"/>
    <n v="4260"/>
    <s v="SOLES"/>
    <x v="1"/>
    <x v="1"/>
    <x v="0"/>
    <d v="2025-12-16T00:00:00"/>
    <n v="1167.1232876712329"/>
  </r>
  <r>
    <m/>
    <m/>
    <x v="19"/>
    <x v="1"/>
    <x v="275"/>
    <n v="72"/>
    <n v="13000"/>
    <n v="0"/>
    <n v="13000"/>
    <s v="SOLES"/>
    <x v="1"/>
    <x v="17"/>
    <x v="0"/>
    <d v="2025-12-15T00:00:00"/>
    <n v="3561.6438356164385"/>
  </r>
  <r>
    <m/>
    <m/>
    <x v="19"/>
    <x v="3"/>
    <x v="275"/>
    <n v="72"/>
    <n v="21000"/>
    <n v="0"/>
    <n v="21000"/>
    <s v="SOLES"/>
    <x v="1"/>
    <x v="17"/>
    <x v="0"/>
    <d v="2025-12-15T00:00:00"/>
    <n v="5753.4246575342468"/>
  </r>
  <r>
    <m/>
    <m/>
    <x v="19"/>
    <x v="2"/>
    <x v="275"/>
    <n v="72"/>
    <n v="21000"/>
    <n v="0"/>
    <n v="21000"/>
    <s v="SOLES"/>
    <x v="1"/>
    <x v="17"/>
    <x v="0"/>
    <d v="2025-12-15T00:00:00"/>
    <n v="5753.4246575342468"/>
  </r>
  <r>
    <m/>
    <m/>
    <x v="19"/>
    <x v="0"/>
    <x v="275"/>
    <n v="72"/>
    <n v="8000"/>
    <n v="0"/>
    <n v="8000"/>
    <s v="SOLES"/>
    <x v="1"/>
    <x v="17"/>
    <x v="0"/>
    <d v="2025-12-15T00:00:00"/>
    <n v="2191.7808219178082"/>
  </r>
  <r>
    <m/>
    <m/>
    <x v="67"/>
    <x v="2"/>
    <x v="275"/>
    <n v="72"/>
    <n v="20000"/>
    <n v="0"/>
    <n v="20000"/>
    <s v="SOLES"/>
    <x v="1"/>
    <x v="17"/>
    <x v="0"/>
    <d v="2025-12-15T00:00:00"/>
    <n v="5479.4520547945203"/>
  </r>
  <r>
    <m/>
    <m/>
    <x v="67"/>
    <x v="3"/>
    <x v="275"/>
    <n v="72"/>
    <n v="22000"/>
    <n v="0"/>
    <n v="22000"/>
    <s v="SOLES"/>
    <x v="1"/>
    <x v="17"/>
    <x v="0"/>
    <d v="2025-12-15T00:00:00"/>
    <n v="6027.3972602739732"/>
  </r>
  <r>
    <m/>
    <m/>
    <x v="67"/>
    <x v="1"/>
    <x v="275"/>
    <n v="72"/>
    <n v="10000"/>
    <n v="0"/>
    <n v="10000"/>
    <s v="SOLES"/>
    <x v="1"/>
    <x v="17"/>
    <x v="0"/>
    <d v="2025-12-15T00:00:00"/>
    <n v="2739.7260273972602"/>
  </r>
  <r>
    <m/>
    <m/>
    <x v="67"/>
    <x v="0"/>
    <x v="275"/>
    <n v="72"/>
    <n v="5000"/>
    <n v="0"/>
    <n v="5000"/>
    <s v="SOLES"/>
    <x v="1"/>
    <x v="17"/>
    <x v="0"/>
    <d v="2025-12-15T00:00:00"/>
    <n v="1369.8630136986301"/>
  </r>
  <r>
    <m/>
    <s v="NOVIEMBRE PERIODO"/>
    <x v="16"/>
    <x v="3"/>
    <x v="276"/>
    <n v="71"/>
    <n v="4100"/>
    <n v="0"/>
    <n v="4100"/>
    <s v="SOLES"/>
    <x v="1"/>
    <x v="1"/>
    <x v="0"/>
    <d v="2025-12-16T00:00:00"/>
    <n v="1123.2876712328768"/>
  </r>
  <r>
    <m/>
    <s v="TRICOT ETA 27/12"/>
    <x v="77"/>
    <x v="2"/>
    <x v="277"/>
    <n v="70"/>
    <n v="1860"/>
    <n v="0"/>
    <n v="1860"/>
    <s v="DOLARES"/>
    <x v="1"/>
    <x v="43"/>
    <x v="0"/>
    <d v="2025-12-18T00:00:00"/>
    <n v="1860"/>
  </r>
  <r>
    <m/>
    <s v="CUOTA 9 DE 09"/>
    <x v="55"/>
    <x v="2"/>
    <x v="277"/>
    <n v="70"/>
    <n v="784"/>
    <n v="0"/>
    <n v="784"/>
    <s v="SOLES"/>
    <x v="1"/>
    <x v="1"/>
    <x v="0"/>
    <d v="2025-12-17T00:00:00"/>
    <n v="214.79452054794521"/>
  </r>
  <r>
    <m/>
    <s v="NOVIEMBRE PERIODO"/>
    <x v="20"/>
    <x v="0"/>
    <x v="277"/>
    <n v="70"/>
    <n v="2625"/>
    <n v="0"/>
    <n v="2625"/>
    <s v="SOLES"/>
    <x v="1"/>
    <x v="1"/>
    <x v="0"/>
    <d v="2025-12-18T00:00:00"/>
    <n v="719.17808219178085"/>
  </r>
  <r>
    <s v="TASA 12.20%"/>
    <s v="IMPT 220K"/>
    <x v="28"/>
    <x v="3"/>
    <x v="277"/>
    <n v="70"/>
    <n v="226423.18"/>
    <n v="0"/>
    <n v="226423.18"/>
    <s v="SOLES"/>
    <x v="1"/>
    <x v="53"/>
    <x v="0"/>
    <d v="2025-12-18T00:00:00"/>
    <n v="62033.747945205476"/>
  </r>
  <r>
    <s v="TASA 15.19%"/>
    <s v="IMPT 180K"/>
    <x v="28"/>
    <x v="2"/>
    <x v="277"/>
    <n v="70"/>
    <n v="186477.4"/>
    <n v="0"/>
    <n v="186477.4"/>
    <s v="SOLES"/>
    <x v="1"/>
    <x v="53"/>
    <x v="0"/>
    <d v="2025-12-18T00:00:00"/>
    <n v="51089.698630136983"/>
  </r>
  <r>
    <m/>
    <s v="CUOTA 09 DE 09"/>
    <x v="55"/>
    <x v="3"/>
    <x v="278"/>
    <n v="69"/>
    <n v="3930"/>
    <n v="0"/>
    <n v="3930"/>
    <s v="SOLES"/>
    <x v="1"/>
    <x v="1"/>
    <x v="0"/>
    <d v="2025-12-18T00:00:00"/>
    <n v="1076.7123287671234"/>
  </r>
  <r>
    <m/>
    <s v="NOVIEMBRE PERIODO"/>
    <x v="78"/>
    <x v="3"/>
    <x v="278"/>
    <n v="69"/>
    <n v="2253"/>
    <n v="0"/>
    <n v="2253"/>
    <s v="SOLES"/>
    <x v="1"/>
    <x v="1"/>
    <x v="0"/>
    <d v="2025-12-18T00:00:00"/>
    <n v="617.2602739726027"/>
  </r>
  <r>
    <s v="ETA 05/01"/>
    <s v="N° GKL25110501"/>
    <x v="59"/>
    <x v="2"/>
    <x v="278"/>
    <n v="69"/>
    <n v="20926.599999999999"/>
    <n v="0"/>
    <n v="20926.599999999999"/>
    <s v="DOLARES"/>
    <x v="1"/>
    <x v="32"/>
    <x v="0"/>
    <d v="2025-12-19T00:00:00"/>
    <n v="20926.599999999999"/>
  </r>
  <r>
    <m/>
    <s v="INVOICE  BZ251014"/>
    <x v="79"/>
    <x v="2"/>
    <x v="278"/>
    <n v="69"/>
    <n v="23343.599999999999"/>
    <n v="0"/>
    <n v="23343.599999999999"/>
    <s v="DOLARES"/>
    <x v="1"/>
    <x v="13"/>
    <x v="0"/>
    <d v="2025-12-29T00:00:00"/>
    <n v="23343.599999999999"/>
  </r>
  <r>
    <s v="ETD 25/10"/>
    <s v="INVOICE CNW2508AA"/>
    <x v="80"/>
    <x v="2"/>
    <x v="278"/>
    <n v="69"/>
    <n v="19662.63"/>
    <n v="0"/>
    <n v="19662.63"/>
    <s v="DOLARES"/>
    <x v="1"/>
    <x v="12"/>
    <x v="0"/>
    <d v="2026-01-06T00:00:00"/>
    <n v="19662.63"/>
  </r>
  <r>
    <m/>
    <s v="INVOICE FOAMFLEX OCT25"/>
    <x v="81"/>
    <x v="3"/>
    <x v="278"/>
    <n v="69"/>
    <n v="44324"/>
    <n v="0"/>
    <n v="44324"/>
    <s v="DOLARES"/>
    <x v="1"/>
    <x v="13"/>
    <x v="0"/>
    <d v="2025-12-19T00:00:00"/>
    <n v="44324"/>
  </r>
  <r>
    <n v="10294973"/>
    <s v="LT 1997"/>
    <x v="66"/>
    <x v="3"/>
    <x v="279"/>
    <n v="68"/>
    <n v="11645.4"/>
    <n v="0"/>
    <n v="11645.4"/>
    <s v="SOLES"/>
    <x v="4"/>
    <x v="19"/>
    <x v="0"/>
    <d v="2025-12-19T00:00:00"/>
    <n v="3190.5205479452056"/>
  </r>
  <r>
    <m/>
    <s v="2749963 SUMINISTRO"/>
    <x v="9"/>
    <x v="2"/>
    <x v="279"/>
    <n v="68"/>
    <n v="9346.5"/>
    <n v="0"/>
    <n v="9346.5"/>
    <s v="SOLES"/>
    <x v="1"/>
    <x v="27"/>
    <x v="0"/>
    <d v="2025-12-19T00:00:00"/>
    <n v="2560.6849315068494"/>
  </r>
  <r>
    <m/>
    <s v="NOVIEMBRE PERIODO"/>
    <x v="16"/>
    <x v="1"/>
    <x v="280"/>
    <n v="67"/>
    <n v="2730"/>
    <n v="0"/>
    <n v="2730"/>
    <s v="SOLES"/>
    <x v="1"/>
    <x v="1"/>
    <x v="0"/>
    <d v="2025-12-22T00:00:00"/>
    <n v="747.94520547945206"/>
  </r>
  <r>
    <m/>
    <s v="ETA 23/12    FACT  CNW2510AA"/>
    <x v="71"/>
    <x v="2"/>
    <x v="281"/>
    <n v="66"/>
    <n v="18209.57"/>
    <n v="0"/>
    <n v="18209.57"/>
    <s v="SOLES"/>
    <x v="1"/>
    <x v="49"/>
    <x v="0"/>
    <d v="2025-12-23T00:00:00"/>
    <n v="4988.9232876712331"/>
  </r>
  <r>
    <m/>
    <s v="CUOTA 00 DE 09"/>
    <x v="55"/>
    <x v="1"/>
    <x v="281"/>
    <n v="66"/>
    <n v="995"/>
    <n v="0"/>
    <n v="995"/>
    <s v="SOLES"/>
    <x v="1"/>
    <x v="1"/>
    <x v="0"/>
    <d v="2025-12-22T00:00:00"/>
    <n v="272.60273972602738"/>
  </r>
  <r>
    <s v="725_5165_1"/>
    <s v="LT 2625"/>
    <x v="22"/>
    <x v="2"/>
    <x v="281"/>
    <n v="66"/>
    <n v="1026.5999999999999"/>
    <n v="0"/>
    <n v="1026.5999999999999"/>
    <s v="DOLARES"/>
    <x v="1"/>
    <x v="18"/>
    <x v="0"/>
    <d v="2025-12-20T00:00:00"/>
    <n v="1026.5999999999999"/>
  </r>
  <r>
    <s v="721_5812_8"/>
    <s v="LT 09925-11-00"/>
    <x v="23"/>
    <x v="2"/>
    <x v="282"/>
    <n v="65"/>
    <n v="6979.87"/>
    <n v="0"/>
    <n v="6979.87"/>
    <s v="DOLARES"/>
    <x v="1"/>
    <x v="19"/>
    <x v="0"/>
    <d v="2025-12-22T00:00:00"/>
    <n v="6979.87"/>
  </r>
  <r>
    <s v="CHP-029"/>
    <s v="CUOTA 04 DE 04"/>
    <x v="46"/>
    <x v="3"/>
    <x v="282"/>
    <n v="65"/>
    <n v="211.76"/>
    <n v="0"/>
    <n v="211.76"/>
    <s v="DOLARES"/>
    <x v="1"/>
    <x v="40"/>
    <x v="0"/>
    <d v="2025-12-22T00:00:00"/>
    <n v="211.76"/>
  </r>
  <r>
    <m/>
    <s v="LT 7519"/>
    <x v="18"/>
    <x v="3"/>
    <x v="282"/>
    <n v="65"/>
    <n v="25224.12"/>
    <n v="0"/>
    <n v="25224.12"/>
    <s v="DOLARES"/>
    <x v="5"/>
    <x v="30"/>
    <x v="0"/>
    <d v="2026-01-02T00:00:00"/>
    <n v="25224.12"/>
  </r>
  <r>
    <m/>
    <s v="NOVIEMBRE PERIODO"/>
    <x v="73"/>
    <x v="2"/>
    <x v="282"/>
    <n v="65"/>
    <n v="10822"/>
    <n v="0"/>
    <n v="10822"/>
    <s v="SOLES"/>
    <x v="1"/>
    <x v="1"/>
    <x v="0"/>
    <d v="2025-12-22T00:00:00"/>
    <n v="2964.9315068493152"/>
  </r>
  <r>
    <m/>
    <s v="NOVIEMBRE PERIODO"/>
    <x v="73"/>
    <x v="3"/>
    <x v="282"/>
    <n v="65"/>
    <n v="6196"/>
    <n v="0"/>
    <n v="6196"/>
    <s v="SOLES"/>
    <x v="1"/>
    <x v="1"/>
    <x v="0"/>
    <d v="2025-12-22T00:00:00"/>
    <n v="1697.5342465753424"/>
  </r>
  <r>
    <m/>
    <s v="CUOTA 19 DE 33"/>
    <x v="29"/>
    <x v="1"/>
    <x v="283"/>
    <n v="63"/>
    <n v="11778.38"/>
    <n v="0"/>
    <n v="11778.38"/>
    <s v="SOLES"/>
    <x v="2"/>
    <x v="15"/>
    <x v="0"/>
    <d v="2025-12-24T00:00:00"/>
    <n v="3226.953424657534"/>
  </r>
  <r>
    <s v="724_6611_6"/>
    <s v="FACT F001-84917"/>
    <x v="11"/>
    <x v="3"/>
    <x v="284"/>
    <n v="61"/>
    <n v="7729"/>
    <n v="0"/>
    <n v="7729"/>
    <s v="DOLARES"/>
    <x v="1"/>
    <x v="11"/>
    <x v="0"/>
    <d v="2025-12-26T00:00:00"/>
    <n v="7729"/>
  </r>
  <r>
    <s v="TASA 8.9%"/>
    <s v="CUOTA 67 DE 114"/>
    <x v="33"/>
    <x v="3"/>
    <x v="285"/>
    <n v="58"/>
    <n v="23859.17"/>
    <n v="0"/>
    <n v="23859.17"/>
    <s v="SOLES"/>
    <x v="1"/>
    <x v="15"/>
    <x v="0"/>
    <d v="2025-12-29T00:00:00"/>
    <n v="6536.7589041095889"/>
  </r>
  <r>
    <m/>
    <s v="ETA 27/12   FACT YBVS0702"/>
    <x v="71"/>
    <x v="2"/>
    <x v="285"/>
    <n v="58"/>
    <n v="42342.17"/>
    <n v="0"/>
    <n v="42342.17"/>
    <s v="SOLES"/>
    <x v="1"/>
    <x v="62"/>
    <x v="0"/>
    <d v="2025-12-29T00:00:00"/>
    <n v="11600.594520547946"/>
  </r>
  <r>
    <m/>
    <s v="LT 7426"/>
    <x v="18"/>
    <x v="2"/>
    <x v="285"/>
    <n v="58"/>
    <n v="3327.6"/>
    <n v="0"/>
    <n v="3327.6"/>
    <s v="DOLARES"/>
    <x v="4"/>
    <x v="16"/>
    <x v="0"/>
    <d v="2025-12-29T00:00:00"/>
    <n v="3327.6"/>
  </r>
  <r>
    <n v="72518970"/>
    <s v="LT 2025-068"/>
    <x v="44"/>
    <x v="2"/>
    <x v="285"/>
    <n v="58"/>
    <n v="1728.3"/>
    <n v="0"/>
    <n v="1728.3"/>
    <s v="DOLARES"/>
    <x v="1"/>
    <x v="38"/>
    <x v="0"/>
    <d v="2025-12-29T00:00:00"/>
    <n v="1728.3"/>
  </r>
  <r>
    <s v="725_7001_2"/>
    <s v="LT 125"/>
    <x v="2"/>
    <x v="2"/>
    <x v="285"/>
    <n v="58"/>
    <n v="5549.54"/>
    <n v="0"/>
    <n v="5549.54"/>
    <s v="SOLES"/>
    <x v="1"/>
    <x v="5"/>
    <x v="0"/>
    <d v="2025-12-29T00:00:00"/>
    <n v="1520.4219178082192"/>
  </r>
  <r>
    <s v="SISAL"/>
    <s v="ETA 07/01 - FACT  XJISD25003"/>
    <x v="71"/>
    <x v="2"/>
    <x v="286"/>
    <n v="57"/>
    <n v="26342.57"/>
    <n v="0"/>
    <n v="26342.57"/>
    <s v="SOLES"/>
    <x v="1"/>
    <x v="24"/>
    <x v="0"/>
    <d v="2025-12-30T00:00:00"/>
    <n v="7217.1424657534244"/>
  </r>
  <r>
    <s v="TASA 15%"/>
    <s v="CUOTA 12 DE 24"/>
    <x v="35"/>
    <x v="1"/>
    <x v="286"/>
    <n v="57"/>
    <n v="9768.16"/>
    <n v="0"/>
    <n v="9768.16"/>
    <s v="SOLES"/>
    <x v="1"/>
    <x v="15"/>
    <x v="0"/>
    <d v="2025-12-30T00:00:00"/>
    <n v="2676.2082191780823"/>
  </r>
  <r>
    <m/>
    <m/>
    <x v="19"/>
    <x v="1"/>
    <x v="287"/>
    <n v="0"/>
    <n v="16000"/>
    <n v="0"/>
    <n v="16000"/>
    <s v="SOLES"/>
    <x v="1"/>
    <x v="17"/>
    <x v="0"/>
    <d v="2026-01-02T00:00:00"/>
    <n v="4383.5616438356165"/>
  </r>
  <r>
    <m/>
    <m/>
    <x v="19"/>
    <x v="3"/>
    <x v="287"/>
    <n v="0"/>
    <n v="25000"/>
    <n v="0"/>
    <n v="25000"/>
    <s v="SOLES"/>
    <x v="1"/>
    <x v="17"/>
    <x v="0"/>
    <d v="2026-01-02T00:00:00"/>
    <n v="6849.3150684931506"/>
  </r>
  <r>
    <m/>
    <m/>
    <x v="19"/>
    <x v="2"/>
    <x v="287"/>
    <n v="0"/>
    <n v="25000"/>
    <n v="0"/>
    <n v="25000"/>
    <s v="SOLES"/>
    <x v="1"/>
    <x v="17"/>
    <x v="0"/>
    <d v="2026-01-02T00:00:00"/>
    <n v="6849.3150684931506"/>
  </r>
  <r>
    <m/>
    <m/>
    <x v="19"/>
    <x v="0"/>
    <x v="287"/>
    <n v="0"/>
    <n v="12000"/>
    <n v="0"/>
    <n v="25000"/>
    <s v="SOLES"/>
    <x v="1"/>
    <x v="17"/>
    <x v="0"/>
    <d v="2026-01-02T00:00:00"/>
    <n v="6849.3150684931506"/>
  </r>
  <r>
    <s v="ETA 31/10"/>
    <s v="INVOICE FT 62025-0649"/>
    <x v="25"/>
    <x v="1"/>
    <x v="287"/>
    <n v="55"/>
    <n v="95405.59"/>
    <n v="0"/>
    <n v="95405.59"/>
    <s v="DOLARES"/>
    <x v="1"/>
    <x v="14"/>
    <x v="0"/>
    <d v="2026-01-12T00:00:00"/>
    <n v="95405.59"/>
  </r>
  <r>
    <m/>
    <s v="FACT F001-13369"/>
    <x v="6"/>
    <x v="2"/>
    <x v="288"/>
    <n v="54"/>
    <n v="3984"/>
    <n v="0"/>
    <n v="3984"/>
    <s v="SOLES"/>
    <x v="1"/>
    <x v="7"/>
    <x v="0"/>
    <d v="2026-01-12T00:00:00"/>
    <n v="1091.5068493150686"/>
  </r>
  <r>
    <m/>
    <s v="FACT F002-187591"/>
    <x v="52"/>
    <x v="3"/>
    <x v="289"/>
    <n v="53"/>
    <n v="126.26"/>
    <n v="0"/>
    <n v="126.26"/>
    <s v="SOLES"/>
    <x v="2"/>
    <x v="45"/>
    <x v="0"/>
    <d v="2026-01-05T00:00:00"/>
    <n v="34.591780821917808"/>
  </r>
  <r>
    <s v="ETA 26/10"/>
    <s v="INVOICE ELK-250911-3K"/>
    <x v="37"/>
    <x v="2"/>
    <x v="289"/>
    <n v="53"/>
    <n v="75600"/>
    <n v="0"/>
    <n v="75600"/>
    <s v="DOLARES"/>
    <x v="1"/>
    <x v="30"/>
    <x v="0"/>
    <d v="2026-01-26T00:00:00"/>
    <n v="75600"/>
  </r>
  <r>
    <s v="CLP-464"/>
    <s v="CUOTA 04 DE 04"/>
    <x v="46"/>
    <x v="2"/>
    <x v="290"/>
    <n v="51"/>
    <n v="224.36"/>
    <n v="0"/>
    <n v="224.36"/>
    <s v="DOLARES"/>
    <x v="1"/>
    <x v="40"/>
    <x v="0"/>
    <d v="2026-01-05T00:00:00"/>
    <n v="224.36"/>
  </r>
  <r>
    <s v="718_8674_8"/>
    <s v="LT 844"/>
    <x v="43"/>
    <x v="3"/>
    <x v="291"/>
    <n v="50"/>
    <n v="10914.8"/>
    <n v="0"/>
    <n v="10914.8"/>
    <s v="SOLES"/>
    <x v="1"/>
    <x v="37"/>
    <x v="0"/>
    <d v="2026-01-06T00:00:00"/>
    <n v="2990.3561643835615"/>
  </r>
  <r>
    <n v="2752500882"/>
    <s v="LT 1032"/>
    <x v="49"/>
    <x v="1"/>
    <x v="292"/>
    <n v="49"/>
    <n v="36926.400000000001"/>
    <n v="0"/>
    <n v="36926.400000000001"/>
    <s v="SOLES"/>
    <x v="2"/>
    <x v="52"/>
    <x v="0"/>
    <d v="2026-01-07T00:00:00"/>
    <n v="10116.82191780822"/>
  </r>
  <r>
    <m/>
    <s v="DICIEMBRE PERIODO"/>
    <x v="7"/>
    <x v="2"/>
    <x v="292"/>
    <n v="49"/>
    <n v="2328"/>
    <n v="0"/>
    <n v="2328"/>
    <s v="SOLES"/>
    <x v="1"/>
    <x v="1"/>
    <x v="0"/>
    <d v="2026-01-07T00:00:00"/>
    <n v="637.80821917808225"/>
  </r>
  <r>
    <m/>
    <s v="DICIEMBRE PERIODO"/>
    <x v="7"/>
    <x v="1"/>
    <x v="292"/>
    <n v="49"/>
    <n v="400"/>
    <n v="0"/>
    <n v="400"/>
    <s v="SOLES"/>
    <x v="1"/>
    <x v="1"/>
    <x v="0"/>
    <d v="2026-01-07T00:00:00"/>
    <n v="109.58904109589041"/>
  </r>
  <r>
    <m/>
    <s v="DICIEMBRE PERIODO"/>
    <x v="7"/>
    <x v="3"/>
    <x v="292"/>
    <n v="49"/>
    <n v="2414"/>
    <n v="0"/>
    <n v="2414"/>
    <s v="SOLES"/>
    <x v="1"/>
    <x v="1"/>
    <x v="0"/>
    <d v="2026-01-07T00:00:00"/>
    <n v="661.36986301369859"/>
  </r>
  <r>
    <m/>
    <s v="DICIEMBRE PERIODO"/>
    <x v="8"/>
    <x v="2"/>
    <x v="292"/>
    <n v="49"/>
    <n v="2700"/>
    <n v="0"/>
    <n v="2700"/>
    <s v="SOLES"/>
    <x v="1"/>
    <x v="54"/>
    <x v="0"/>
    <d v="2026-01-07T00:00:00"/>
    <n v="739.72602739726028"/>
  </r>
  <r>
    <m/>
    <s v="DICIEMBRE PERIODO"/>
    <x v="8"/>
    <x v="3"/>
    <x v="292"/>
    <n v="49"/>
    <n v="1300"/>
    <n v="0"/>
    <n v="1300"/>
    <s v="SOLES"/>
    <x v="1"/>
    <x v="54"/>
    <x v="0"/>
    <d v="2026-01-07T00:00:00"/>
    <n v="356.16438356164383"/>
  </r>
  <r>
    <m/>
    <s v="DICIEMBRE PERIODO"/>
    <x v="8"/>
    <x v="1"/>
    <x v="292"/>
    <n v="49"/>
    <n v="1350"/>
    <n v="0"/>
    <n v="1350"/>
    <s v="SOLES"/>
    <x v="1"/>
    <x v="54"/>
    <x v="0"/>
    <d v="2026-01-07T00:00:00"/>
    <n v="369.86301369863014"/>
  </r>
  <r>
    <s v="727_6478_3"/>
    <s v="LT 10004-11-00"/>
    <x v="23"/>
    <x v="3"/>
    <x v="293"/>
    <n v="48"/>
    <n v="7535.13"/>
    <n v="0"/>
    <n v="7535.13"/>
    <s v="DOLARES"/>
    <x v="1"/>
    <x v="19"/>
    <x v="0"/>
    <d v="2026-01-09T00:00:00"/>
    <n v="7535.13"/>
  </r>
  <r>
    <m/>
    <s v="RECIBO S870-5719137"/>
    <x v="9"/>
    <x v="3"/>
    <x v="293"/>
    <n v="48"/>
    <n v="1527.5"/>
    <n v="0"/>
    <n v="1527.5"/>
    <s v="SOLES"/>
    <x v="1"/>
    <x v="27"/>
    <x v="0"/>
    <d v="2026-01-09T00:00:00"/>
    <n v="418.49315068493149"/>
  </r>
  <r>
    <m/>
    <s v="RECIBO S870-5719136"/>
    <x v="9"/>
    <x v="3"/>
    <x v="293"/>
    <n v="48"/>
    <n v="177.5"/>
    <n v="0"/>
    <n v="177.5"/>
    <s v="SOLES"/>
    <x v="1"/>
    <x v="27"/>
    <x v="0"/>
    <d v="2026-01-09T00:00:00"/>
    <n v="48.630136986301373"/>
  </r>
  <r>
    <s v="ETA 17/01"/>
    <s v="TEJIDO DE PUNTO "/>
    <x v="77"/>
    <x v="2"/>
    <x v="294"/>
    <n v="47"/>
    <n v="1680"/>
    <n v="0"/>
    <n v="1680"/>
    <s v="DOLARES"/>
    <x v="1"/>
    <x v="43"/>
    <x v="0"/>
    <d v="2026-01-10T00:00:00"/>
    <n v="1680"/>
  </r>
  <r>
    <n v="2902501250"/>
    <s v="LT 1128"/>
    <x v="38"/>
    <x v="3"/>
    <x v="294"/>
    <n v="47"/>
    <n v="70307.05"/>
    <n v="0"/>
    <n v="70307.05"/>
    <s v="DOLARES"/>
    <x v="2"/>
    <x v="30"/>
    <x v="0"/>
    <d v="2026-01-09T00:00:00"/>
    <n v="70307.05"/>
  </r>
  <r>
    <s v="PEGAMENTO"/>
    <s v="ETA 10/01 - FACT  GKL25110501"/>
    <x v="71"/>
    <x v="2"/>
    <x v="294"/>
    <n v="47"/>
    <n v="28190"/>
    <n v="0"/>
    <n v="28190"/>
    <s v="SOLES"/>
    <x v="1"/>
    <x v="4"/>
    <x v="0"/>
    <d v="2026-01-09T00:00:00"/>
    <n v="7723.2876712328771"/>
  </r>
  <r>
    <s v="ETA 07/11"/>
    <s v="INVOICE FT FT 0062025-0020"/>
    <x v="26"/>
    <x v="3"/>
    <x v="295"/>
    <n v="45"/>
    <n v="47501.9"/>
    <n v="0"/>
    <n v="47501.9"/>
    <s v="DOLARES"/>
    <x v="1"/>
    <x v="14"/>
    <x v="0"/>
    <d v="2026-01-28T00:00:00"/>
    <n v="47501.9"/>
  </r>
  <r>
    <s v="ETA 02/02"/>
    <s v="INVOICE F25BZ69072-2"/>
    <x v="79"/>
    <x v="2"/>
    <x v="296"/>
    <n v="44"/>
    <n v="16035.6"/>
    <n v="0"/>
    <n v="16035.6"/>
    <s v="DOLARES"/>
    <x v="1"/>
    <x v="63"/>
    <x v="0"/>
    <d v="2026-01-14T00:00:00"/>
    <n v="16035.6"/>
  </r>
  <r>
    <s v="TASA 13.54%"/>
    <s v="CUOTA 22 DE 24"/>
    <x v="15"/>
    <x v="2"/>
    <x v="297"/>
    <n v="43"/>
    <n v="4280.91"/>
    <n v="0"/>
    <n v="4280.91"/>
    <s v="SOLES"/>
    <x v="1"/>
    <x v="15"/>
    <x v="0"/>
    <d v="2026-01-13T00:00:00"/>
    <n v="1172.8520547945204"/>
  </r>
  <r>
    <s v="TASA 7.2%"/>
    <s v="CUOTA 13 DE 180"/>
    <x v="54"/>
    <x v="0"/>
    <x v="297"/>
    <n v="43"/>
    <n v="30099.17"/>
    <n v="0"/>
    <n v="30099.17"/>
    <s v="SOLES"/>
    <x v="2"/>
    <x v="15"/>
    <x v="0"/>
    <d v="2026-01-13T00:00:00"/>
    <n v="8246.3479452054798"/>
  </r>
  <r>
    <m/>
    <m/>
    <x v="52"/>
    <x v="3"/>
    <x v="297"/>
    <n v="43"/>
    <n v="519.91"/>
    <n v="0"/>
    <n v="519.91"/>
    <s v="SOLES"/>
    <x v="2"/>
    <x v="45"/>
    <x v="0"/>
    <d v="2026-01-13T00:00:00"/>
    <n v="142.44109589041096"/>
  </r>
  <r>
    <s v="726_7598_5"/>
    <s v="LT 1875-2025"/>
    <x v="14"/>
    <x v="3"/>
    <x v="298"/>
    <n v="42"/>
    <n v="4396.68"/>
    <n v="0"/>
    <n v="4396.68"/>
    <s v="DOLARES"/>
    <x v="1"/>
    <x v="14"/>
    <x v="0"/>
    <d v="2026-01-14T00:00:00"/>
    <n v="4396.68"/>
  </r>
  <r>
    <m/>
    <s v="DICIEMBRE PERIODO"/>
    <x v="16"/>
    <x v="2"/>
    <x v="298"/>
    <n v="42"/>
    <n v="4160"/>
    <n v="0"/>
    <n v="4160"/>
    <s v="SOLES"/>
    <x v="1"/>
    <x v="1"/>
    <x v="0"/>
    <d v="2026-01-14T00:00:00"/>
    <n v="1139.7260273972604"/>
  </r>
  <r>
    <m/>
    <m/>
    <x v="19"/>
    <x v="1"/>
    <x v="299"/>
    <n v="41"/>
    <n v="13000"/>
    <n v="0"/>
    <n v="13000"/>
    <s v="SOLES"/>
    <x v="1"/>
    <x v="17"/>
    <x v="0"/>
    <d v="2026-01-15T00:00:00"/>
    <n v="3561.6438356164385"/>
  </r>
  <r>
    <m/>
    <m/>
    <x v="19"/>
    <x v="3"/>
    <x v="299"/>
    <n v="41"/>
    <n v="21000"/>
    <n v="0"/>
    <n v="21000"/>
    <s v="SOLES"/>
    <x v="1"/>
    <x v="17"/>
    <x v="0"/>
    <d v="2026-01-15T00:00:00"/>
    <n v="5753.4246575342468"/>
  </r>
  <r>
    <m/>
    <m/>
    <x v="19"/>
    <x v="2"/>
    <x v="299"/>
    <n v="41"/>
    <n v="21000"/>
    <n v="0"/>
    <n v="21000"/>
    <s v="SOLES"/>
    <x v="1"/>
    <x v="17"/>
    <x v="0"/>
    <d v="2026-01-15T00:00:00"/>
    <n v="5753.4246575342468"/>
  </r>
  <r>
    <m/>
    <m/>
    <x v="19"/>
    <x v="0"/>
    <x v="299"/>
    <n v="41"/>
    <n v="8000"/>
    <n v="0"/>
    <n v="8000"/>
    <s v="SOLES"/>
    <x v="1"/>
    <x v="17"/>
    <x v="0"/>
    <d v="2026-01-15T00:00:00"/>
    <n v="2191.7808219178082"/>
  </r>
  <r>
    <n v="2025"/>
    <s v="SETIEMBRE PERIODO"/>
    <x v="1"/>
    <x v="2"/>
    <x v="300"/>
    <n v="40"/>
    <n v="31967"/>
    <n v="0"/>
    <n v="31967"/>
    <s v="SOLES"/>
    <x v="1"/>
    <x v="1"/>
    <x v="0"/>
    <d v="2026-01-21T00:00:00"/>
    <n v="8758.0821917808225"/>
  </r>
  <r>
    <n v="2025"/>
    <s v="DICIEMBRE PERIODO"/>
    <x v="20"/>
    <x v="0"/>
    <x v="300"/>
    <n v="40"/>
    <n v="2625"/>
    <n v="0"/>
    <n v="2625"/>
    <s v="SOLES"/>
    <x v="1"/>
    <x v="1"/>
    <x v="0"/>
    <d v="2026-01-16T00:00:00"/>
    <n v="719.17808219178085"/>
  </r>
  <r>
    <n v="2025"/>
    <s v="DICIEMBRE PERIODO"/>
    <x v="16"/>
    <x v="3"/>
    <x v="300"/>
    <n v="40"/>
    <n v="4020"/>
    <n v="0"/>
    <n v="4020"/>
    <s v="SOLES"/>
    <x v="1"/>
    <x v="1"/>
    <x v="0"/>
    <d v="2026-01-17T00:00:00"/>
    <n v="1101.3698630136987"/>
  </r>
  <r>
    <s v="TEJIDO PUNTO"/>
    <s v="ETA 17/01 - FACT F25BZ69072-1"/>
    <x v="71"/>
    <x v="2"/>
    <x v="300"/>
    <n v="40"/>
    <n v="28297"/>
    <n v="0"/>
    <n v="28297"/>
    <s v="SOLES"/>
    <x v="1"/>
    <x v="64"/>
    <x v="0"/>
    <d v="2026-01-16T00:00:00"/>
    <n v="7752.6027397260277"/>
  </r>
  <r>
    <n v="2752500881"/>
    <s v="LT 1033"/>
    <x v="49"/>
    <x v="1"/>
    <x v="301"/>
    <n v="39"/>
    <n v="36926.400000000001"/>
    <n v="0"/>
    <n v="36926.400000000001"/>
    <s v="SOLES"/>
    <x v="2"/>
    <x v="52"/>
    <x v="0"/>
    <d v="2026-01-17T00:00:00"/>
    <n v="10116.82191780822"/>
  </r>
  <r>
    <m/>
    <s v="DICIEMBRE PERIODO"/>
    <x v="78"/>
    <x v="3"/>
    <x v="301"/>
    <n v="39"/>
    <n v="12687"/>
    <n v="0"/>
    <n v="12687"/>
    <s v="SOLES"/>
    <x v="1"/>
    <x v="1"/>
    <x v="0"/>
    <d v="2026-01-17T00:00:00"/>
    <n v="3475.8904109589043"/>
  </r>
  <r>
    <s v="726_7598_4"/>
    <s v="LT 1886-2025"/>
    <x v="14"/>
    <x v="3"/>
    <x v="302"/>
    <n v="38"/>
    <n v="5224.63"/>
    <n v="0"/>
    <n v="5224.63"/>
    <s v="DOLARES"/>
    <x v="1"/>
    <x v="14"/>
    <x v="0"/>
    <d v="2026-01-17T00:00:00"/>
    <n v="5224.63"/>
  </r>
  <r>
    <n v="2025"/>
    <s v="SETIEMBRE PERIODO"/>
    <x v="1"/>
    <x v="3"/>
    <x v="303"/>
    <n v="37"/>
    <n v="12528"/>
    <n v="0"/>
    <n v="12528"/>
    <s v="SOLES"/>
    <x v="1"/>
    <x v="1"/>
    <x v="0"/>
    <d v="2026-01-29T00:00:00"/>
    <n v="3432.3287671232879"/>
  </r>
  <r>
    <s v="ALAMBRE"/>
    <s v="ETA 20/01 - FACT  IKFR25149"/>
    <x v="71"/>
    <x v="3"/>
    <x v="303"/>
    <n v="37"/>
    <n v="48227.74"/>
    <n v="0"/>
    <n v="48227.74"/>
    <s v="SOLES"/>
    <x v="1"/>
    <x v="23"/>
    <x v="0"/>
    <d v="2026-01-20T00:00:00"/>
    <n v="13213.079452054795"/>
  </r>
  <r>
    <s v="NOTEX"/>
    <s v="ETA 20/01 - FACT CNW2510AB"/>
    <x v="71"/>
    <x v="2"/>
    <x v="303"/>
    <n v="37"/>
    <n v="20169.12"/>
    <n v="0"/>
    <n v="20169.12"/>
    <s v="SOLES"/>
    <x v="1"/>
    <x v="49"/>
    <x v="0"/>
    <d v="2026-01-20T00:00:00"/>
    <n v="5525.7863013698625"/>
  </r>
  <r>
    <s v="ETA21/11"/>
    <s v="INVOICE SGC-13113-0005"/>
    <x v="63"/>
    <x v="2"/>
    <x v="303"/>
    <n v="37"/>
    <n v="57100"/>
    <n v="0"/>
    <n v="57100"/>
    <s v="DOLARES"/>
    <x v="1"/>
    <x v="25"/>
    <x v="0"/>
    <d v="2026-01-20T00:00:00"/>
    <n v="57100"/>
  </r>
  <r>
    <m/>
    <s v="DICIEMBRE PERIODO"/>
    <x v="16"/>
    <x v="1"/>
    <x v="304"/>
    <n v="36"/>
    <n v="2740"/>
    <n v="0"/>
    <n v="2740"/>
    <s v="SOLES"/>
    <x v="1"/>
    <x v="5"/>
    <x v="0"/>
    <d v="2026-01-20T00:00:00"/>
    <n v="750.68493150684935"/>
  </r>
  <r>
    <m/>
    <s v="2749963 SUMINISTRO"/>
    <x v="9"/>
    <x v="2"/>
    <x v="305"/>
    <n v="35"/>
    <n v="10188"/>
    <n v="0"/>
    <n v="10188"/>
    <s v="SOLES"/>
    <x v="1"/>
    <x v="27"/>
    <x v="0"/>
    <d v="2026-01-21T00:00:00"/>
    <n v="2791.232876712329"/>
  </r>
  <r>
    <m/>
    <s v="DICIEMBRE PERIODO"/>
    <x v="73"/>
    <x v="2"/>
    <x v="305"/>
    <n v="35"/>
    <n v="11752"/>
    <n v="0"/>
    <n v="11752"/>
    <s v="SOLES"/>
    <x v="1"/>
    <x v="1"/>
    <x v="0"/>
    <d v="2026-01-21T00:00:00"/>
    <n v="3219.7260273972602"/>
  </r>
  <r>
    <m/>
    <s v="FACT E001-170"/>
    <x v="82"/>
    <x v="2"/>
    <x v="306"/>
    <n v="34"/>
    <n v="2998.38"/>
    <n v="0"/>
    <n v="2998.38"/>
    <s v="SOLES"/>
    <x v="1"/>
    <x v="35"/>
    <x v="0"/>
    <d v="2026-01-30T00:00:00"/>
    <n v="821.47397260273976"/>
  </r>
  <r>
    <m/>
    <s v="DICIEMBRE PERIODO"/>
    <x v="73"/>
    <x v="3"/>
    <x v="306"/>
    <n v="34"/>
    <n v="4521"/>
    <n v="0"/>
    <n v="4521"/>
    <s v="SOLES"/>
    <x v="2"/>
    <x v="1"/>
    <x v="0"/>
    <d v="2026-01-23T00:00:00"/>
    <n v="1238.6301369863013"/>
  </r>
  <r>
    <s v="726_2639_7"/>
    <s v="LT 126"/>
    <x v="2"/>
    <x v="2"/>
    <x v="307"/>
    <n v="33"/>
    <n v="1399.96"/>
    <n v="0"/>
    <n v="1399.96"/>
    <s v="SOLES"/>
    <x v="1"/>
    <x v="5"/>
    <x v="0"/>
    <d v="2026-01-23T00:00:00"/>
    <n v="383.55068493150685"/>
  </r>
  <r>
    <s v="726_7598_3"/>
    <s v="LT 1902-2025"/>
    <x v="14"/>
    <x v="3"/>
    <x v="308"/>
    <n v="31"/>
    <n v="5245.05"/>
    <n v="0"/>
    <n v="5245.05"/>
    <s v="DOLARES"/>
    <x v="1"/>
    <x v="14"/>
    <x v="0"/>
    <d v="2026-01-24T00:00:00"/>
    <n v="5245.05"/>
  </r>
  <r>
    <m/>
    <s v="CUOTA 20 DE 33"/>
    <x v="29"/>
    <x v="1"/>
    <x v="309"/>
    <n v="30"/>
    <n v="11778.38"/>
    <n v="0"/>
    <n v="11778.38"/>
    <s v="SOLES"/>
    <x v="2"/>
    <x v="15"/>
    <x v="0"/>
    <d v="2026-01-26T00:00:00"/>
    <n v="3226.953424657534"/>
  </r>
  <r>
    <n v="2752500880"/>
    <s v="LT 1034"/>
    <x v="49"/>
    <x v="1"/>
    <x v="310"/>
    <n v="29"/>
    <n v="36926.400000000001"/>
    <n v="0"/>
    <n v="36926.400000000001"/>
    <s v="SOLES"/>
    <x v="2"/>
    <x v="52"/>
    <x v="0"/>
    <d v="2026-01-27T00:00:00"/>
    <n v="10116.82191780822"/>
  </r>
  <r>
    <n v="10297716"/>
    <s v="LT 7571"/>
    <x v="18"/>
    <x v="2"/>
    <x v="310"/>
    <n v="29"/>
    <n v="3327.6"/>
    <n v="0"/>
    <n v="3327.6"/>
    <s v="DOLARES"/>
    <x v="4"/>
    <x v="16"/>
    <x v="0"/>
    <d v="2026-01-27T00:00:00"/>
    <n v="3327.6"/>
  </r>
  <r>
    <s v="726_7598_6"/>
    <s v="LT 1904-2025"/>
    <x v="14"/>
    <x v="3"/>
    <x v="310"/>
    <n v="29"/>
    <n v="1755.63"/>
    <n v="0"/>
    <n v="1755.63"/>
    <s v="DOLARES"/>
    <x v="1"/>
    <x v="14"/>
    <x v="0"/>
    <d v="2026-01-27T00:00:00"/>
    <n v="1755.63"/>
  </r>
  <r>
    <s v="ETA 24/11"/>
    <s v="INVOICE  XJISD25002"/>
    <x v="51"/>
    <x v="2"/>
    <x v="311"/>
    <n v="28"/>
    <n v="29115.5"/>
    <n v="0"/>
    <n v="29115.5"/>
    <s v="DOLARES"/>
    <x v="1"/>
    <x v="44"/>
    <x v="0"/>
    <d v="2026-02-06T00:00:00"/>
    <n v="29115.5"/>
  </r>
  <r>
    <s v="TASA 8.9%"/>
    <s v="CUOTA 68 DE 114"/>
    <x v="33"/>
    <x v="3"/>
    <x v="311"/>
    <n v="28"/>
    <n v="23525.95"/>
    <n v="0"/>
    <n v="23525.95"/>
    <s v="SOLES"/>
    <x v="1"/>
    <x v="15"/>
    <x v="0"/>
    <d v="2026-01-28T00:00:00"/>
    <n v="6445.465753424658"/>
  </r>
  <r>
    <s v="726_7596_0"/>
    <s v="LT 1905-2025"/>
    <x v="14"/>
    <x v="3"/>
    <x v="311"/>
    <n v="28"/>
    <n v="27163.15"/>
    <n v="0"/>
    <n v="27163.15"/>
    <s v="SOLES"/>
    <x v="1"/>
    <x v="13"/>
    <x v="0"/>
    <d v="2026-01-28T00:00:00"/>
    <n v="7441.9589041095896"/>
  </r>
  <r>
    <s v="TASA 15%"/>
    <s v="CUOTA 13 DE 24"/>
    <x v="35"/>
    <x v="1"/>
    <x v="312"/>
    <n v="26"/>
    <n v="9768.16"/>
    <n v="0"/>
    <n v="9768.16"/>
    <s v="SOLES"/>
    <x v="1"/>
    <x v="15"/>
    <x v="0"/>
    <d v="2026-01-30T00:00:00"/>
    <n v="2676.2082191780823"/>
  </r>
  <r>
    <s v="ETA 11/12"/>
    <s v="INVOICE  ELK-251016-9K"/>
    <x v="37"/>
    <x v="2"/>
    <x v="313"/>
    <n v="25"/>
    <n v="72000"/>
    <n v="0"/>
    <n v="72000"/>
    <s v="DOLARES"/>
    <x v="1"/>
    <x v="30"/>
    <x v="0"/>
    <d v="2026-02-04T00:00:00"/>
    <n v="72000"/>
  </r>
  <r>
    <s v="ETA 01/02"/>
    <s v="FACT F25BZ69072-2"/>
    <x v="71"/>
    <x v="2"/>
    <x v="313"/>
    <n v="25"/>
    <n v="14509"/>
    <n v="0"/>
    <n v="14509"/>
    <s v="SOLES"/>
    <x v="1"/>
    <x v="65"/>
    <x v="0"/>
    <d v="2026-01-31T00:00:00"/>
    <n v="3975.0684931506848"/>
  </r>
  <r>
    <s v="ETA 01/02"/>
    <s v="FACT 2725 Y 2726"/>
    <x v="71"/>
    <x v="3"/>
    <x v="313"/>
    <n v="25"/>
    <n v="48091"/>
    <n v="0"/>
    <n v="48091"/>
    <s v="SOLES"/>
    <x v="1"/>
    <x v="64"/>
    <x v="0"/>
    <d v="2026-01-31T00:00:00"/>
    <n v="13175.616438356165"/>
  </r>
  <r>
    <m/>
    <m/>
    <x v="19"/>
    <x v="1"/>
    <x v="314"/>
    <n v="0"/>
    <n v="16000"/>
    <n v="0"/>
    <n v="16000"/>
    <s v="SOLES"/>
    <x v="1"/>
    <x v="17"/>
    <x v="0"/>
    <d v="2026-02-02T00:00:00"/>
    <n v="4383.5616438356165"/>
  </r>
  <r>
    <m/>
    <m/>
    <x v="19"/>
    <x v="3"/>
    <x v="314"/>
    <n v="0"/>
    <n v="25000"/>
    <n v="0"/>
    <n v="25000"/>
    <s v="SOLES"/>
    <x v="1"/>
    <x v="17"/>
    <x v="0"/>
    <d v="2026-02-02T00:00:00"/>
    <n v="6849.3150684931506"/>
  </r>
  <r>
    <m/>
    <m/>
    <x v="19"/>
    <x v="2"/>
    <x v="314"/>
    <n v="0"/>
    <n v="25000"/>
    <n v="0"/>
    <n v="25000"/>
    <s v="SOLES"/>
    <x v="1"/>
    <x v="17"/>
    <x v="0"/>
    <d v="2026-02-02T00:00:00"/>
    <n v="6849.3150684931506"/>
  </r>
  <r>
    <m/>
    <m/>
    <x v="19"/>
    <x v="0"/>
    <x v="314"/>
    <n v="0"/>
    <n v="12000"/>
    <n v="0"/>
    <n v="25000"/>
    <s v="SOLES"/>
    <x v="1"/>
    <x v="17"/>
    <x v="0"/>
    <d v="2026-02-02T00:00:00"/>
    <n v="6849.3150684931506"/>
  </r>
  <r>
    <s v="726_7969_2"/>
    <s v="LT 10123-11-00"/>
    <x v="23"/>
    <x v="2"/>
    <x v="315"/>
    <n v="23"/>
    <n v="8553.0400000000009"/>
    <n v="0"/>
    <n v="8553.0400000000009"/>
    <s v="DOLARES"/>
    <x v="1"/>
    <x v="19"/>
    <x v="0"/>
    <d v="2026-02-02T00:00:00"/>
    <n v="8553.0400000000009"/>
  </r>
  <r>
    <s v="727_6478_2"/>
    <s v="LT 10122-11-00"/>
    <x v="23"/>
    <x v="3"/>
    <x v="315"/>
    <n v="23"/>
    <n v="1910.66"/>
    <n v="0"/>
    <n v="1910.66"/>
    <s v="DOLARES"/>
    <x v="1"/>
    <x v="19"/>
    <x v="0"/>
    <d v="2026-02-02T00:00:00"/>
    <n v="1910.66"/>
  </r>
  <r>
    <m/>
    <s v="FACT F002-190320"/>
    <x v="52"/>
    <x v="3"/>
    <x v="315"/>
    <n v="23"/>
    <n v="126.26"/>
    <n v="0"/>
    <n v="126.26"/>
    <s v="SOLES"/>
    <x v="2"/>
    <x v="45"/>
    <x v="0"/>
    <d v="2026-02-02T00:00:00"/>
    <n v="34.591780821917808"/>
  </r>
  <r>
    <m/>
    <s v="LT 2925 "/>
    <x v="22"/>
    <x v="2"/>
    <x v="316"/>
    <n v="22"/>
    <n v="1026.5999999999999"/>
    <n v="0"/>
    <n v="1026.5999999999999"/>
    <s v="DOLARES"/>
    <x v="5"/>
    <x v="18"/>
    <x v="0"/>
    <d v="2026-02-18T00:00:00"/>
    <n v="1026.5999999999999"/>
  </r>
  <r>
    <s v="728_2697_0"/>
    <s v="LT 2025-079"/>
    <x v="44"/>
    <x v="2"/>
    <x v="317"/>
    <n v="21"/>
    <n v="1615.51"/>
    <n v="0"/>
    <n v="1615.51"/>
    <s v="DOLARES"/>
    <x v="1"/>
    <x v="38"/>
    <x v="0"/>
    <d v="2026-02-04T00:00:00"/>
    <n v="1615.51"/>
  </r>
  <r>
    <s v="726_5579_2"/>
    <s v="LT 1691"/>
    <x v="43"/>
    <x v="3"/>
    <x v="318"/>
    <n v="20"/>
    <n v="2554.98"/>
    <n v="0"/>
    <n v="2554.98"/>
    <s v="SOLES"/>
    <x v="1"/>
    <x v="37"/>
    <x v="0"/>
    <d v="2026-02-05T00:00:00"/>
    <n v="699.99452054794517"/>
  </r>
  <r>
    <m/>
    <m/>
    <x v="53"/>
    <x v="3"/>
    <x v="318"/>
    <n v="20"/>
    <n v="280"/>
    <n v="0"/>
    <n v="284.39999999999998"/>
    <s v="SOLES"/>
    <x v="1"/>
    <x v="57"/>
    <x v="0"/>
    <d v="2026-02-05T00:00:00"/>
    <n v="77.917808219178085"/>
  </r>
  <r>
    <m/>
    <m/>
    <x v="48"/>
    <x v="3"/>
    <x v="318"/>
    <n v="20"/>
    <n v="90"/>
    <n v="0"/>
    <n v="90"/>
    <s v="SOLES"/>
    <x v="1"/>
    <x v="41"/>
    <x v="0"/>
    <d v="2026-02-05T00:00:00"/>
    <n v="24.657534246575342"/>
  </r>
  <r>
    <n v="2752500879"/>
    <s v="LT 1035"/>
    <x v="49"/>
    <x v="1"/>
    <x v="319"/>
    <n v="19"/>
    <n v="36926.400000000001"/>
    <n v="0"/>
    <n v="36926.400000000001"/>
    <s v="SOLES"/>
    <x v="2"/>
    <x v="52"/>
    <x v="0"/>
    <d v="2026-02-06T00:00:00"/>
    <n v="10116.82191780822"/>
  </r>
  <r>
    <m/>
    <s v="ENERO PERIODO"/>
    <x v="7"/>
    <x v="2"/>
    <x v="319"/>
    <n v="19"/>
    <n v="2820"/>
    <n v="0"/>
    <n v="2820"/>
    <s v="SOLES"/>
    <x v="1"/>
    <x v="8"/>
    <x v="0"/>
    <d v="2026-02-06T00:00:00"/>
    <n v="772.60273972602738"/>
  </r>
  <r>
    <m/>
    <s v="ENERO PERIODO"/>
    <x v="7"/>
    <x v="3"/>
    <x v="319"/>
    <n v="19"/>
    <n v="2320"/>
    <n v="0"/>
    <n v="2320"/>
    <s v="SOLES"/>
    <x v="1"/>
    <x v="8"/>
    <x v="0"/>
    <d v="2026-02-06T00:00:00"/>
    <n v="635.61643835616439"/>
  </r>
  <r>
    <m/>
    <s v="ENERO PERIODO"/>
    <x v="7"/>
    <x v="1"/>
    <x v="319"/>
    <n v="19"/>
    <n v="580"/>
    <n v="0"/>
    <n v="580"/>
    <s v="SOLES"/>
    <x v="1"/>
    <x v="8"/>
    <x v="0"/>
    <d v="2026-02-06T00:00:00"/>
    <n v="158.9041095890411"/>
  </r>
  <r>
    <m/>
    <s v="ENERO PERIODO"/>
    <x v="8"/>
    <x v="2"/>
    <x v="319"/>
    <n v="19"/>
    <n v="2030"/>
    <n v="0"/>
    <n v="2030"/>
    <s v="SOLES"/>
    <x v="1"/>
    <x v="54"/>
    <x v="0"/>
    <d v="2026-02-06T00:00:00"/>
    <n v="556.16438356164383"/>
  </r>
  <r>
    <m/>
    <s v="ENERO PERIODO"/>
    <x v="8"/>
    <x v="3"/>
    <x v="319"/>
    <n v="19"/>
    <n v="1280"/>
    <n v="0"/>
    <n v="1280"/>
    <s v="SOLES"/>
    <x v="1"/>
    <x v="54"/>
    <x v="0"/>
    <d v="2026-02-06T00:00:00"/>
    <n v="350.6849315068493"/>
  </r>
  <r>
    <m/>
    <s v="ENERO PERIODO"/>
    <x v="8"/>
    <x v="1"/>
    <x v="319"/>
    <n v="19"/>
    <n v="1680"/>
    <n v="0"/>
    <n v="1680"/>
    <s v="SOLES"/>
    <x v="1"/>
    <x v="54"/>
    <x v="0"/>
    <d v="2026-02-06T00:00:00"/>
    <n v="460.27397260273972"/>
  </r>
  <r>
    <m/>
    <s v="0883909 SUMNISTRO"/>
    <x v="9"/>
    <x v="3"/>
    <x v="320"/>
    <n v="18"/>
    <n v="1954"/>
    <n v="0"/>
    <n v="1954"/>
    <s v="SOLES"/>
    <x v="1"/>
    <x v="27"/>
    <x v="0"/>
    <d v="2026-02-07T00:00:00"/>
    <n v="535.34246575342468"/>
  </r>
  <r>
    <m/>
    <s v="1975640 SUMINISTRO"/>
    <x v="9"/>
    <x v="3"/>
    <x v="320"/>
    <n v="18"/>
    <n v="161.5"/>
    <n v="0"/>
    <n v="161.5"/>
    <s v="SOLES"/>
    <x v="1"/>
    <x v="27"/>
    <x v="0"/>
    <d v="2026-02-07T00:00:00"/>
    <n v="44.246575342465754"/>
  </r>
  <r>
    <m/>
    <m/>
    <x v="10"/>
    <x v="2"/>
    <x v="321"/>
    <n v="17"/>
    <n v="20000"/>
    <n v="0"/>
    <n v="20000"/>
    <s v="SOLES"/>
    <x v="1"/>
    <x v="66"/>
    <x v="0"/>
    <d v="2026-02-11T00:00:00"/>
    <n v="5479.4520547945203"/>
  </r>
  <r>
    <m/>
    <m/>
    <x v="10"/>
    <x v="3"/>
    <x v="321"/>
    <n v="17"/>
    <n v="20000"/>
    <n v="0"/>
    <n v="20000"/>
    <s v="SOLES"/>
    <x v="1"/>
    <x v="66"/>
    <x v="0"/>
    <d v="2026-02-11T00:00:00"/>
    <n v="5479.4520547945203"/>
  </r>
  <r>
    <n v="10297717"/>
    <s v="LT 7577"/>
    <x v="18"/>
    <x v="2"/>
    <x v="322"/>
    <n v="16"/>
    <n v="619.5"/>
    <n v="0"/>
    <n v="619.5"/>
    <s v="DOLARES"/>
    <x v="4"/>
    <x v="16"/>
    <x v="0"/>
    <d v="2026-02-09T00:00:00"/>
    <n v="619.5"/>
  </r>
  <r>
    <m/>
    <s v="LT 127"/>
    <x v="2"/>
    <x v="2"/>
    <x v="323"/>
    <n v="15"/>
    <n v="7438.72"/>
    <n v="0"/>
    <n v="7438.72"/>
    <s v="SOLES"/>
    <x v="5"/>
    <x v="5"/>
    <x v="1"/>
    <m/>
    <n v="2038.0054794520549"/>
  </r>
  <r>
    <s v="ETA 15/12"/>
    <s v="INVOICE SGC-13113-0007"/>
    <x v="63"/>
    <x v="2"/>
    <x v="323"/>
    <n v="15"/>
    <n v="87320.52"/>
    <n v="0"/>
    <n v="87320.52"/>
    <s v="DOLARES"/>
    <x v="1"/>
    <x v="67"/>
    <x v="0"/>
    <d v="2026-02-13T00:00:00"/>
    <n v="87320.52"/>
  </r>
  <r>
    <s v="ETA 14/12"/>
    <s v="INVOICE  SGC-13113-0006"/>
    <x v="63"/>
    <x v="2"/>
    <x v="323"/>
    <n v="15"/>
    <n v="11352.96"/>
    <n v="0"/>
    <n v="11352.96"/>
    <s v="DOLARES"/>
    <x v="1"/>
    <x v="68"/>
    <x v="0"/>
    <d v="2026-02-10T00:00:00"/>
    <n v="11352.96"/>
  </r>
  <r>
    <s v="VENCE 13/02"/>
    <s v="D2B-746"/>
    <x v="3"/>
    <x v="2"/>
    <x v="324"/>
    <n v="13"/>
    <n v="160"/>
    <n v="0"/>
    <n v="160"/>
    <s v="SOLES"/>
    <x v="1"/>
    <x v="3"/>
    <x v="0"/>
    <d v="2026-02-12T00:00:00"/>
    <n v="43.835616438356162"/>
  </r>
  <r>
    <s v="TASA 13.54%"/>
    <s v="CUOTA 23 DE 24"/>
    <x v="15"/>
    <x v="2"/>
    <x v="325"/>
    <n v="12"/>
    <n v="4280.91"/>
    <n v="0"/>
    <n v="4280.91"/>
    <s v="SOLES"/>
    <x v="1"/>
    <x v="15"/>
    <x v="0"/>
    <d v="2026-02-13T00:00:00"/>
    <n v="1172.8520547945204"/>
  </r>
  <r>
    <s v="TASA 7.2%"/>
    <s v="CUOTA 14 DE 180"/>
    <x v="54"/>
    <x v="0"/>
    <x v="325"/>
    <n v="12"/>
    <n v="30099.17"/>
    <n v="0"/>
    <n v="30099.17"/>
    <s v="SOLES"/>
    <x v="2"/>
    <x v="15"/>
    <x v="0"/>
    <d v="2026-02-13T00:00:00"/>
    <n v="8246.3479452054798"/>
  </r>
  <r>
    <m/>
    <s v="ENERO PERIODO"/>
    <x v="16"/>
    <x v="2"/>
    <x v="325"/>
    <n v="12"/>
    <n v="3381"/>
    <n v="0"/>
    <n v="3381"/>
    <s v="SOLES"/>
    <x v="1"/>
    <x v="1"/>
    <x v="0"/>
    <d v="2026-02-14T00:00:00"/>
    <n v="926.30136986301375"/>
  </r>
  <r>
    <m/>
    <s v="ENERO PERIODO"/>
    <x v="20"/>
    <x v="0"/>
    <x v="326"/>
    <n v="11"/>
    <n v="2625"/>
    <n v="0"/>
    <n v="2625"/>
    <s v="SOLES"/>
    <x v="1"/>
    <x v="1"/>
    <x v="0"/>
    <d v="2026-02-16T00:00:00"/>
    <n v="719.17808219178085"/>
  </r>
  <r>
    <m/>
    <s v="FACT F002-191362"/>
    <x v="52"/>
    <x v="3"/>
    <x v="326"/>
    <n v="11"/>
    <n v="519.91"/>
    <n v="0"/>
    <n v="519.91"/>
    <s v="SOLES"/>
    <x v="2"/>
    <x v="45"/>
    <x v="0"/>
    <d v="2026-02-16T00:00:00"/>
    <n v="142.44109589041096"/>
  </r>
  <r>
    <m/>
    <m/>
    <x v="19"/>
    <x v="1"/>
    <x v="327"/>
    <n v="10"/>
    <n v="13000"/>
    <n v="0"/>
    <n v="13000"/>
    <s v="SOLES"/>
    <x v="1"/>
    <x v="17"/>
    <x v="0"/>
    <d v="2026-02-16T00:00:00"/>
    <n v="3561.6438356164385"/>
  </r>
  <r>
    <m/>
    <m/>
    <x v="19"/>
    <x v="3"/>
    <x v="327"/>
    <n v="10"/>
    <n v="21000"/>
    <n v="0"/>
    <n v="21000"/>
    <s v="SOLES"/>
    <x v="1"/>
    <x v="17"/>
    <x v="0"/>
    <d v="2026-02-16T00:00:00"/>
    <n v="5753.4246575342468"/>
  </r>
  <r>
    <m/>
    <m/>
    <x v="19"/>
    <x v="2"/>
    <x v="327"/>
    <n v="10"/>
    <n v="21000"/>
    <n v="0"/>
    <n v="21000"/>
    <s v="SOLES"/>
    <x v="1"/>
    <x v="17"/>
    <x v="0"/>
    <d v="2026-02-16T00:00:00"/>
    <n v="5753.4246575342468"/>
  </r>
  <r>
    <m/>
    <m/>
    <x v="19"/>
    <x v="0"/>
    <x v="327"/>
    <n v="10"/>
    <n v="8000"/>
    <n v="0"/>
    <n v="8000"/>
    <s v="SOLES"/>
    <x v="1"/>
    <x v="17"/>
    <x v="0"/>
    <d v="2026-02-16T00:00:00"/>
    <n v="2191.7808219178082"/>
  </r>
  <r>
    <s v="ETA 23/12"/>
    <s v="INVOICE CNW2510AA"/>
    <x v="80"/>
    <x v="2"/>
    <x v="327"/>
    <n v="10"/>
    <n v="19297.98"/>
    <n v="0"/>
    <n v="19297.98"/>
    <s v="DOLARES"/>
    <x v="1"/>
    <x v="12"/>
    <x v="1"/>
    <m/>
    <n v="19297.98"/>
  </r>
  <r>
    <m/>
    <s v="FACT F001-13805"/>
    <x v="6"/>
    <x v="2"/>
    <x v="327"/>
    <n v="10"/>
    <n v="2952"/>
    <n v="0"/>
    <n v="2952"/>
    <s v="SOLES"/>
    <x v="1"/>
    <x v="7"/>
    <x v="1"/>
    <m/>
    <n v="808.76712328767121"/>
  </r>
  <r>
    <s v="730_0023_3"/>
    <s v="LT 10152-11-00"/>
    <x v="23"/>
    <x v="3"/>
    <x v="328"/>
    <n v="9"/>
    <n v="8016.52"/>
    <n v="0"/>
    <n v="8016.52"/>
    <s v="DOLARES"/>
    <x v="1"/>
    <x v="19"/>
    <x v="0"/>
    <d v="2026-02-16T00:00:00"/>
    <n v="8016.52"/>
  </r>
  <r>
    <m/>
    <s v="ENERO PERIODO"/>
    <x v="16"/>
    <x v="3"/>
    <x v="328"/>
    <n v="9"/>
    <n v="4020"/>
    <n v="0"/>
    <n v="4020"/>
    <s v="SOLES"/>
    <x v="1"/>
    <x v="1"/>
    <x v="0"/>
    <d v="2026-02-16T00:00:00"/>
    <n v="1101.3698630136987"/>
  </r>
  <r>
    <m/>
    <s v="ENERO PERIODO"/>
    <x v="78"/>
    <x v="3"/>
    <x v="329"/>
    <n v="8"/>
    <n v="32362"/>
    <n v="0"/>
    <n v="32362"/>
    <s v="SOLES"/>
    <x v="1"/>
    <x v="1"/>
    <x v="0"/>
    <d v="2026-02-17T00:00:00"/>
    <n v="8866.3013698630148"/>
  </r>
  <r>
    <m/>
    <s v="ENERO PERIODO"/>
    <x v="16"/>
    <x v="1"/>
    <x v="330"/>
    <n v="7"/>
    <n v="3405"/>
    <n v="0"/>
    <n v="3405"/>
    <s v="SOLES"/>
    <x v="1"/>
    <x v="1"/>
    <x v="0"/>
    <d v="2026-02-18T00:00:00"/>
    <n v="932.8767123287671"/>
  </r>
  <r>
    <m/>
    <s v="ENERO PERIODO"/>
    <x v="1"/>
    <x v="3"/>
    <x v="330"/>
    <n v="7"/>
    <n v="2482"/>
    <n v="0"/>
    <n v="2482"/>
    <s v="SOLES"/>
    <x v="1"/>
    <x v="1"/>
    <x v="0"/>
    <d v="2026-02-18T00:00:00"/>
    <n v="680"/>
  </r>
  <r>
    <m/>
    <s v="ENERO PERIODO"/>
    <x v="73"/>
    <x v="3"/>
    <x v="330"/>
    <n v="7"/>
    <n v="13342"/>
    <n v="0"/>
    <n v="13342"/>
    <s v="SOLES"/>
    <x v="1"/>
    <x v="1"/>
    <x v="0"/>
    <d v="2026-02-18T00:00:00"/>
    <n v="3655.3424657534247"/>
  </r>
  <r>
    <s v="733_4000_7"/>
    <s v="LT 128"/>
    <x v="2"/>
    <x v="2"/>
    <x v="331"/>
    <n v="6"/>
    <n v="6544.28"/>
    <n v="0"/>
    <n v="6544.28"/>
    <s v="SOLES"/>
    <x v="1"/>
    <x v="5"/>
    <x v="0"/>
    <d v="2026-02-19T00:00:00"/>
    <n v="1792.9534246575342"/>
  </r>
  <r>
    <m/>
    <s v="ENERO PERIODO"/>
    <x v="73"/>
    <x v="2"/>
    <x v="331"/>
    <n v="6"/>
    <n v="12265"/>
    <n v="0"/>
    <n v="12265"/>
    <s v="SOLES"/>
    <x v="1"/>
    <x v="1"/>
    <x v="0"/>
    <d v="2026-02-19T00:00:00"/>
    <n v="3360.2739726027398"/>
  </r>
  <r>
    <m/>
    <s v="2749963 SUMINISTRO"/>
    <x v="9"/>
    <x v="2"/>
    <x v="331"/>
    <n v="6"/>
    <n v="10254.5"/>
    <n v="0"/>
    <n v="10254.5"/>
    <s v="SOLES"/>
    <x v="1"/>
    <x v="27"/>
    <x v="0"/>
    <d v="2026-02-19T00:00:00"/>
    <n v="2809.4520547945208"/>
  </r>
  <r>
    <s v="726_5579_0"/>
    <s v="LT 1750"/>
    <x v="43"/>
    <x v="3"/>
    <x v="332"/>
    <n v="3"/>
    <n v="1873.34"/>
    <n v="0"/>
    <n v="1873.34"/>
    <s v="DOLARES"/>
    <x v="1"/>
    <x v="69"/>
    <x v="0"/>
    <d v="2026-02-20T00:00:00"/>
    <n v="1873.34"/>
  </r>
  <r>
    <n v="2025"/>
    <s v="NOVIEMBRE PERIODO"/>
    <x v="1"/>
    <x v="1"/>
    <x v="333"/>
    <n v="2"/>
    <n v="2997"/>
    <n v="0"/>
    <n v="2997"/>
    <s v="SOLES"/>
    <x v="1"/>
    <x v="1"/>
    <x v="1"/>
    <m/>
    <n v="821.09589041095887"/>
  </r>
  <r>
    <m/>
    <s v="CUOTA 22 DE 33"/>
    <x v="29"/>
    <x v="1"/>
    <x v="334"/>
    <n v="1"/>
    <n v="11778.38"/>
    <n v="0"/>
    <n v="11778.38"/>
    <s v="SOLES"/>
    <x v="2"/>
    <x v="15"/>
    <x v="0"/>
    <d v="2026-02-24T00:00:00"/>
    <n v="3226.953424657534"/>
  </r>
  <r>
    <m/>
    <s v="FACT F002-232"/>
    <x v="39"/>
    <x v="2"/>
    <x v="335"/>
    <n v="0"/>
    <n v="849.61"/>
    <n v="0"/>
    <n v="849.61"/>
    <s v="DOLARES"/>
    <x v="1"/>
    <x v="70"/>
    <x v="1"/>
    <m/>
    <n v="849.61"/>
  </r>
  <r>
    <s v="728_6131_9"/>
    <s v="LT 7599"/>
    <x v="18"/>
    <x v="2"/>
    <x v="336"/>
    <n v="-1"/>
    <n v="3327.6"/>
    <n v="0"/>
    <n v="3327.6"/>
    <s v="DOLARES"/>
    <x v="1"/>
    <x v="16"/>
    <x v="0"/>
    <d v="2026-02-20T00:00:00"/>
    <n v="3327.6"/>
  </r>
  <r>
    <m/>
    <s v="ENERO PERIODO"/>
    <x v="73"/>
    <x v="1"/>
    <x v="336"/>
    <n v="-1"/>
    <n v="2941"/>
    <n v="0"/>
    <n v="2941"/>
    <s v="SOLES"/>
    <x v="1"/>
    <x v="1"/>
    <x v="1"/>
    <m/>
    <n v="805.75342465753431"/>
  </r>
  <r>
    <s v="IGV"/>
    <s v="2025 ABRIL PERIODO"/>
    <x v="1"/>
    <x v="2"/>
    <x v="337"/>
    <n v="-2"/>
    <n v="37509"/>
    <n v="0"/>
    <n v="37509"/>
    <s v="SOLES"/>
    <x v="1"/>
    <x v="1"/>
    <x v="1"/>
    <m/>
    <n v="10276.438356164384"/>
  </r>
  <r>
    <s v="CHP-029"/>
    <s v="CUOTA 01 DE 04"/>
    <x v="45"/>
    <x v="3"/>
    <x v="337"/>
    <n v="-2"/>
    <n v="374.65"/>
    <n v="0"/>
    <n v="374.65"/>
    <s v="SOLES"/>
    <x v="1"/>
    <x v="1"/>
    <x v="1"/>
    <m/>
    <n v="102.64383561643835"/>
  </r>
  <r>
    <s v="CLP-464"/>
    <s v="CUOTA 01 DE 04"/>
    <x v="45"/>
    <x v="2"/>
    <x v="337"/>
    <n v="-2"/>
    <n v="302.8"/>
    <n v="0"/>
    <n v="302.8"/>
    <s v="SOLES"/>
    <x v="1"/>
    <x v="1"/>
    <x v="1"/>
    <m/>
    <n v="82.958904109589042"/>
  </r>
  <r>
    <s v="TASA 15%"/>
    <s v="CUOTA 14 DE 24"/>
    <x v="35"/>
    <x v="1"/>
    <x v="338"/>
    <n v="-3"/>
    <n v="9768.16"/>
    <n v="0"/>
    <n v="9768.16"/>
    <s v="SOLES"/>
    <x v="1"/>
    <x v="15"/>
    <x v="1"/>
    <m/>
    <n v="2676.2082191780823"/>
  </r>
  <r>
    <m/>
    <m/>
    <x v="19"/>
    <x v="1"/>
    <x v="339"/>
    <n v="0"/>
    <n v="16000"/>
    <n v="0"/>
    <n v="16000"/>
    <s v="SOLES"/>
    <x v="1"/>
    <x v="17"/>
    <x v="1"/>
    <m/>
    <n v="4383.5616438356165"/>
  </r>
  <r>
    <m/>
    <m/>
    <x v="19"/>
    <x v="3"/>
    <x v="339"/>
    <n v="0"/>
    <n v="25000"/>
    <n v="0"/>
    <n v="25000"/>
    <s v="SOLES"/>
    <x v="1"/>
    <x v="17"/>
    <x v="1"/>
    <m/>
    <n v="6849.3150684931506"/>
  </r>
  <r>
    <m/>
    <m/>
    <x v="19"/>
    <x v="2"/>
    <x v="339"/>
    <n v="0"/>
    <n v="25000"/>
    <n v="0"/>
    <n v="25000"/>
    <s v="SOLES"/>
    <x v="1"/>
    <x v="17"/>
    <x v="1"/>
    <m/>
    <n v="6849.3150684931506"/>
  </r>
  <r>
    <m/>
    <m/>
    <x v="19"/>
    <x v="0"/>
    <x v="339"/>
    <n v="0"/>
    <n v="12000"/>
    <n v="0"/>
    <n v="25000"/>
    <s v="SOLES"/>
    <x v="1"/>
    <x v="17"/>
    <x v="1"/>
    <m/>
    <n v="6849.3150684931506"/>
  </r>
  <r>
    <s v="TASA 8.9%"/>
    <s v="CUOTA 69 DE 114"/>
    <x v="33"/>
    <x v="3"/>
    <x v="340"/>
    <n v="-5"/>
    <n v="24004.65"/>
    <n v="0"/>
    <n v="24004.65"/>
    <s v="SOLES"/>
    <x v="1"/>
    <x v="15"/>
    <x v="1"/>
    <m/>
    <n v="6576.6164383561645"/>
  </r>
  <r>
    <s v="ETA 07/01"/>
    <s v="INVOICE  XJISD25003"/>
    <x v="51"/>
    <x v="2"/>
    <x v="340"/>
    <n v="-5"/>
    <n v="28459"/>
    <n v="0"/>
    <n v="28459"/>
    <s v="DOLARES"/>
    <x v="1"/>
    <x v="44"/>
    <x v="1"/>
    <m/>
    <n v="28459"/>
  </r>
  <r>
    <s v="ETA 20/01"/>
    <s v="INVOICE  IKFR25149"/>
    <x v="83"/>
    <x v="3"/>
    <x v="341"/>
    <n v="-6"/>
    <n v="64857.1"/>
    <n v="0"/>
    <n v="64857.1"/>
    <s v="DOLARES"/>
    <x v="1"/>
    <x v="14"/>
    <x v="1"/>
    <m/>
    <n v="64857.1"/>
  </r>
  <r>
    <s v="728-6132-0"/>
    <s v="LT 7626"/>
    <x v="18"/>
    <x v="2"/>
    <x v="341"/>
    <n v="-6"/>
    <n v="619.5"/>
    <n v="0"/>
    <n v="619.5"/>
    <s v="DOLARES"/>
    <x v="1"/>
    <x v="16"/>
    <x v="1"/>
    <m/>
    <n v="619.5"/>
  </r>
  <r>
    <m/>
    <m/>
    <x v="53"/>
    <x v="3"/>
    <x v="342"/>
    <n v="-8"/>
    <n v="268"/>
    <n v="0"/>
    <n v="268"/>
    <s v="SOLES"/>
    <x v="1"/>
    <x v="57"/>
    <x v="1"/>
    <m/>
    <n v="73.424657534246577"/>
  </r>
  <r>
    <m/>
    <m/>
    <x v="48"/>
    <x v="3"/>
    <x v="342"/>
    <n v="-8"/>
    <n v="90"/>
    <n v="0"/>
    <n v="90"/>
    <s v="SOLES"/>
    <x v="1"/>
    <x v="41"/>
    <x v="1"/>
    <m/>
    <n v="24.657534246575342"/>
  </r>
  <r>
    <m/>
    <s v="FACT E001-2654"/>
    <x v="72"/>
    <x v="1"/>
    <x v="343"/>
    <n v="-10"/>
    <n v="2175"/>
    <n v="0"/>
    <n v="2175"/>
    <s v="DOLARES"/>
    <x v="1"/>
    <x v="18"/>
    <x v="1"/>
    <m/>
    <n v="2175"/>
  </r>
  <r>
    <m/>
    <s v="FACT F002-256"/>
    <x v="39"/>
    <x v="2"/>
    <x v="344"/>
    <n v="-11"/>
    <n v="566.4"/>
    <n v="0"/>
    <n v="566.4"/>
    <s v="DOLARES"/>
    <x v="1"/>
    <x v="70"/>
    <x v="1"/>
    <m/>
    <n v="566.4"/>
  </r>
  <r>
    <s v="728_2697_4"/>
    <s v="LT 2025-090"/>
    <x v="44"/>
    <x v="2"/>
    <x v="345"/>
    <n v="-13"/>
    <n v="1316.88"/>
    <n v="0"/>
    <n v="1316.88"/>
    <s v="DOLARES"/>
    <x v="1"/>
    <x v="38"/>
    <x v="1"/>
    <m/>
    <n v="1316.88"/>
  </r>
  <r>
    <n v="10357849"/>
    <s v="LT 2038"/>
    <x v="66"/>
    <x v="3"/>
    <x v="346"/>
    <n v="-16"/>
    <n v="13033.8"/>
    <n v="0"/>
    <n v="13033.8"/>
    <s v="SOLES"/>
    <x v="4"/>
    <x v="19"/>
    <x v="1"/>
    <m/>
    <n v="3570.9041095890411"/>
  </r>
  <r>
    <s v="TASA 13.54%"/>
    <s v="CUOTA 24 DE 24"/>
    <x v="15"/>
    <x v="2"/>
    <x v="346"/>
    <n v="-16"/>
    <n v="4280.91"/>
    <n v="0"/>
    <n v="4280.91"/>
    <s v="SOLES"/>
    <x v="1"/>
    <x v="15"/>
    <x v="1"/>
    <m/>
    <n v="1172.8520547945204"/>
  </r>
  <r>
    <s v="TASA 7.2%"/>
    <s v="CUOTA 15 DE 180"/>
    <x v="54"/>
    <x v="0"/>
    <x v="346"/>
    <n v="-16"/>
    <n v="30099.17"/>
    <n v="0"/>
    <n v="30099.17"/>
    <s v="SOLES"/>
    <x v="2"/>
    <x v="15"/>
    <x v="1"/>
    <m/>
    <n v="8246.3479452054798"/>
  </r>
  <r>
    <s v="730_7238_2"/>
    <s v="LT 10268-11-00"/>
    <x v="23"/>
    <x v="2"/>
    <x v="347"/>
    <n v="-18"/>
    <n v="6285.95"/>
    <n v="0"/>
    <n v="6285.95"/>
    <s v="DOLARES"/>
    <x v="1"/>
    <x v="19"/>
    <x v="1"/>
    <m/>
    <n v="6285.95"/>
  </r>
  <r>
    <s v="ETA 20/01"/>
    <s v="INVOICE CNW2510AB"/>
    <x v="80"/>
    <x v="2"/>
    <x v="347"/>
    <n v="-18"/>
    <n v="19868.78"/>
    <n v="0"/>
    <n v="19868.78"/>
    <s v="DOLARES"/>
    <x v="1"/>
    <x v="12"/>
    <x v="1"/>
    <m/>
    <n v="19868.78"/>
  </r>
  <r>
    <m/>
    <m/>
    <x v="19"/>
    <x v="1"/>
    <x v="347"/>
    <n v="-18"/>
    <n v="13000"/>
    <n v="0"/>
    <n v="13000"/>
    <s v="SOLES"/>
    <x v="1"/>
    <x v="17"/>
    <x v="1"/>
    <m/>
    <n v="3561.6438356164385"/>
  </r>
  <r>
    <m/>
    <m/>
    <x v="19"/>
    <x v="3"/>
    <x v="347"/>
    <n v="-18"/>
    <n v="21000"/>
    <n v="0"/>
    <n v="21000"/>
    <s v="SOLES"/>
    <x v="1"/>
    <x v="17"/>
    <x v="1"/>
    <m/>
    <n v="5753.4246575342468"/>
  </r>
  <r>
    <m/>
    <m/>
    <x v="19"/>
    <x v="2"/>
    <x v="347"/>
    <n v="-18"/>
    <n v="21000"/>
    <n v="0"/>
    <n v="21000"/>
    <s v="SOLES"/>
    <x v="1"/>
    <x v="17"/>
    <x v="1"/>
    <m/>
    <n v="5753.4246575342468"/>
  </r>
  <r>
    <m/>
    <m/>
    <x v="19"/>
    <x v="0"/>
    <x v="347"/>
    <n v="-18"/>
    <n v="8000"/>
    <n v="0"/>
    <n v="8000"/>
    <s v="SOLES"/>
    <x v="1"/>
    <x v="17"/>
    <x v="1"/>
    <m/>
    <n v="2191.7808219178082"/>
  </r>
  <r>
    <s v="734_1483_5"/>
    <s v="LT 129"/>
    <x v="2"/>
    <x v="2"/>
    <x v="348"/>
    <n v="-19"/>
    <n v="1950"/>
    <n v="0"/>
    <n v="1950"/>
    <s v="SOLES"/>
    <x v="1"/>
    <x v="19"/>
    <x v="1"/>
    <m/>
    <n v="534.2465753424658"/>
  </r>
  <r>
    <s v="732_3669_9"/>
    <s v="LT 0126"/>
    <x v="22"/>
    <x v="2"/>
    <x v="348"/>
    <n v="-19"/>
    <n v="1026.5999999999999"/>
    <n v="0"/>
    <n v="1026.5999999999999"/>
    <s v="DOLARES"/>
    <x v="1"/>
    <x v="18"/>
    <x v="1"/>
    <m/>
    <n v="1026.5999999999999"/>
  </r>
  <r>
    <s v="730_7238_3"/>
    <s v="LT 10292-11-00"/>
    <x v="23"/>
    <x v="3"/>
    <x v="349"/>
    <n v="-23"/>
    <n v="7557.1"/>
    <n v="0"/>
    <n v="7557.1"/>
    <s v="DOLARES"/>
    <x v="1"/>
    <x v="19"/>
    <x v="1"/>
    <m/>
    <n v="7557.1"/>
  </r>
  <r>
    <m/>
    <s v="FACT E001-1775"/>
    <x v="40"/>
    <x v="2"/>
    <x v="350"/>
    <n v="-26"/>
    <n v="2250"/>
    <n v="0"/>
    <n v="2250"/>
    <s v="SOLES"/>
    <x v="1"/>
    <x v="71"/>
    <x v="1"/>
    <m/>
    <n v="616.43835616438355"/>
  </r>
  <r>
    <m/>
    <s v="CUOTA 22 DE 33"/>
    <x v="29"/>
    <x v="1"/>
    <x v="351"/>
    <n v="-27"/>
    <n v="11778.38"/>
    <n v="0"/>
    <n v="11778.38"/>
    <s v="SOLES"/>
    <x v="2"/>
    <x v="15"/>
    <x v="1"/>
    <m/>
    <n v="3226.953424657534"/>
  </r>
  <r>
    <n v="162600756"/>
    <s v="LT 1172"/>
    <x v="38"/>
    <x v="1"/>
    <x v="352"/>
    <n v="-30"/>
    <n v="54124.480000000003"/>
    <n v="0"/>
    <n v="54124.480000000003"/>
    <s v="DOLARES"/>
    <x v="2"/>
    <x v="14"/>
    <x v="1"/>
    <m/>
    <n v="54124.480000000003"/>
  </r>
  <r>
    <s v="734_2223_5"/>
    <s v="FACT F001-86999"/>
    <x v="11"/>
    <x v="3"/>
    <x v="353"/>
    <n v="-32"/>
    <n v="5994.4"/>
    <n v="0"/>
    <n v="5994.4"/>
    <s v="DOLARES"/>
    <x v="1"/>
    <x v="11"/>
    <x v="1"/>
    <m/>
    <n v="5994.4"/>
  </r>
  <r>
    <s v="TASA 15%"/>
    <s v="CUOTA 15 DE 24"/>
    <x v="35"/>
    <x v="1"/>
    <x v="354"/>
    <n v="-33"/>
    <n v="9768.16"/>
    <n v="0"/>
    <n v="9768.16"/>
    <s v="SOLES"/>
    <x v="1"/>
    <x v="15"/>
    <x v="1"/>
    <m/>
    <n v="2676.2082191780823"/>
  </r>
  <r>
    <s v="TASA 8.9%"/>
    <s v="CUOTA 70 DE 114"/>
    <x v="33"/>
    <x v="3"/>
    <x v="354"/>
    <n v="-33"/>
    <n v="22884.54"/>
    <n v="0"/>
    <n v="22884.54"/>
    <s v="SOLES"/>
    <x v="1"/>
    <x v="15"/>
    <x v="1"/>
    <m/>
    <n v="6269.7369863013701"/>
  </r>
  <r>
    <n v="2025"/>
    <s v="MAYO PERIODO"/>
    <x v="1"/>
    <x v="3"/>
    <x v="355"/>
    <n v="-34"/>
    <n v="47646"/>
    <n v="0"/>
    <n v="47646"/>
    <s v="SOLES"/>
    <x v="1"/>
    <x v="1"/>
    <x v="1"/>
    <m/>
    <n v="13053.698630136987"/>
  </r>
  <r>
    <s v="730_2998_6"/>
    <s v="LT 1908"/>
    <x v="43"/>
    <x v="3"/>
    <x v="355"/>
    <n v="-34"/>
    <n v="1552"/>
    <n v="0"/>
    <n v="1552"/>
    <s v="DOLARES"/>
    <x v="1"/>
    <x v="69"/>
    <x v="1"/>
    <m/>
    <n v="1552"/>
  </r>
  <r>
    <m/>
    <m/>
    <x v="19"/>
    <x v="1"/>
    <x v="356"/>
    <n v="0"/>
    <n v="16000"/>
    <n v="0"/>
    <n v="16000"/>
    <s v="SOLES"/>
    <x v="1"/>
    <x v="17"/>
    <x v="1"/>
    <m/>
    <n v="4383.5616438356165"/>
  </r>
  <r>
    <m/>
    <m/>
    <x v="19"/>
    <x v="3"/>
    <x v="356"/>
    <n v="0"/>
    <n v="25000"/>
    <n v="0"/>
    <n v="25000"/>
    <s v="SOLES"/>
    <x v="1"/>
    <x v="17"/>
    <x v="1"/>
    <m/>
    <n v="6849.3150684931506"/>
  </r>
  <r>
    <m/>
    <m/>
    <x v="19"/>
    <x v="2"/>
    <x v="356"/>
    <n v="0"/>
    <n v="25000"/>
    <n v="0"/>
    <n v="25000"/>
    <s v="SOLES"/>
    <x v="1"/>
    <x v="17"/>
    <x v="1"/>
    <m/>
    <n v="6849.3150684931506"/>
  </r>
  <r>
    <m/>
    <m/>
    <x v="19"/>
    <x v="0"/>
    <x v="356"/>
    <n v="0"/>
    <n v="12000"/>
    <n v="0"/>
    <n v="25000"/>
    <s v="SOLES"/>
    <x v="1"/>
    <x v="17"/>
    <x v="1"/>
    <m/>
    <n v="6849.3150684931506"/>
  </r>
  <r>
    <s v=";010336226"/>
    <s v="LT 7653"/>
    <x v="18"/>
    <x v="2"/>
    <x v="357"/>
    <n v="-40"/>
    <n v="619.5"/>
    <n v="0"/>
    <n v="619.5"/>
    <s v="DOLARES"/>
    <x v="6"/>
    <x v="16"/>
    <x v="1"/>
    <m/>
    <n v="619.5"/>
  </r>
  <r>
    <s v=";010336227"/>
    <s v="LT 7654"/>
    <x v="18"/>
    <x v="2"/>
    <x v="357"/>
    <n v="-40"/>
    <n v="3327.6"/>
    <n v="0"/>
    <n v="3327.6"/>
    <s v="DOLARES"/>
    <x v="6"/>
    <x v="16"/>
    <x v="1"/>
    <m/>
    <n v="3327.6"/>
  </r>
  <r>
    <s v="TASA 15.19%"/>
    <s v="DESEMBOLSO 180K 07/01/26"/>
    <x v="28"/>
    <x v="2"/>
    <x v="358"/>
    <n v="-41"/>
    <n v="186477.4"/>
    <n v="0"/>
    <n v="186477.4"/>
    <s v="SOLES"/>
    <x v="1"/>
    <x v="53"/>
    <x v="1"/>
    <m/>
    <n v="51089.698630136983"/>
  </r>
  <r>
    <s v="TASA 8.95%"/>
    <s v="DESEMBOLSO 100K 09/04 - 2 CUO"/>
    <x v="28"/>
    <x v="3"/>
    <x v="359"/>
    <n v="-42"/>
    <n v="51253.29"/>
    <n v="0"/>
    <n v="51253.29"/>
    <s v="DOLARES"/>
    <x v="1"/>
    <x v="53"/>
    <x v="1"/>
    <m/>
    <n v="51253.29"/>
  </r>
  <r>
    <s v="TASA 7.2%"/>
    <s v="CUOTA 16 DE 180"/>
    <x v="54"/>
    <x v="0"/>
    <x v="360"/>
    <n v="-47"/>
    <n v="30099.17"/>
    <n v="0"/>
    <n v="30099.17"/>
    <s v="SOLES"/>
    <x v="2"/>
    <x v="15"/>
    <x v="1"/>
    <m/>
    <n v="8246.3479452054798"/>
  </r>
  <r>
    <m/>
    <m/>
    <x v="19"/>
    <x v="1"/>
    <x v="361"/>
    <n v="-49"/>
    <n v="13000"/>
    <n v="0"/>
    <n v="13000"/>
    <s v="SOLES"/>
    <x v="1"/>
    <x v="17"/>
    <x v="1"/>
    <m/>
    <n v="3561.6438356164385"/>
  </r>
  <r>
    <m/>
    <m/>
    <x v="19"/>
    <x v="3"/>
    <x v="361"/>
    <n v="-49"/>
    <n v="21000"/>
    <n v="0"/>
    <n v="21000"/>
    <s v="SOLES"/>
    <x v="1"/>
    <x v="17"/>
    <x v="1"/>
    <m/>
    <n v="5753.4246575342468"/>
  </r>
  <r>
    <m/>
    <m/>
    <x v="19"/>
    <x v="2"/>
    <x v="361"/>
    <n v="-49"/>
    <n v="21000"/>
    <n v="0"/>
    <n v="21000"/>
    <s v="SOLES"/>
    <x v="1"/>
    <x v="17"/>
    <x v="1"/>
    <m/>
    <n v="5753.4246575342468"/>
  </r>
  <r>
    <m/>
    <m/>
    <x v="19"/>
    <x v="0"/>
    <x v="361"/>
    <n v="-49"/>
    <n v="8000"/>
    <n v="0"/>
    <n v="8000"/>
    <s v="SOLES"/>
    <x v="1"/>
    <x v="17"/>
    <x v="1"/>
    <m/>
    <n v="2191.7808219178082"/>
  </r>
  <r>
    <m/>
    <s v="LT 2026/-002"/>
    <x v="44"/>
    <x v="2"/>
    <x v="361"/>
    <n v="-49"/>
    <n v="1298.72"/>
    <n v="0"/>
    <n v="1298.72"/>
    <s v="DOLARES"/>
    <x v="7"/>
    <x v="19"/>
    <x v="1"/>
    <m/>
    <n v="1298.72"/>
  </r>
  <r>
    <m/>
    <s v="LT 130"/>
    <x v="2"/>
    <x v="2"/>
    <x v="362"/>
    <n v="-53"/>
    <n v="6095.88"/>
    <n v="0"/>
    <n v="6095.88"/>
    <s v="SOLES"/>
    <x v="3"/>
    <x v="5"/>
    <x v="1"/>
    <m/>
    <n v="1670.1041095890412"/>
  </r>
  <r>
    <m/>
    <s v="LT 10402-11-0"/>
    <x v="23"/>
    <x v="2"/>
    <x v="363"/>
    <n v="-56"/>
    <n v="6499.86"/>
    <n v="0"/>
    <n v="6499.86"/>
    <s v="DOLARES"/>
    <x v="7"/>
    <x v="19"/>
    <x v="1"/>
    <m/>
    <n v="6499.86"/>
  </r>
  <r>
    <m/>
    <s v="LT 0001177"/>
    <x v="38"/>
    <x v="1"/>
    <x v="364"/>
    <n v="-58"/>
    <n v="27044.89"/>
    <n v="0"/>
    <n v="27044.89"/>
    <s v="DOLARES"/>
    <x v="7"/>
    <x v="14"/>
    <x v="1"/>
    <m/>
    <n v="27044.89"/>
  </r>
  <r>
    <m/>
    <s v="CUOTA 23 DE 33"/>
    <x v="29"/>
    <x v="1"/>
    <x v="364"/>
    <n v="-58"/>
    <n v="11778.38"/>
    <n v="0"/>
    <n v="11778.38"/>
    <s v="SOLES"/>
    <x v="2"/>
    <x v="15"/>
    <x v="1"/>
    <m/>
    <n v="3226.953424657534"/>
  </r>
  <r>
    <m/>
    <s v="LT 7666"/>
    <x v="18"/>
    <x v="2"/>
    <x v="365"/>
    <n v="-61"/>
    <n v="826"/>
    <n v="0"/>
    <n v="826"/>
    <s v="DOLARES"/>
    <x v="7"/>
    <x v="16"/>
    <x v="1"/>
    <m/>
    <n v="826"/>
  </r>
  <r>
    <m/>
    <s v="LT 7665"/>
    <x v="18"/>
    <x v="2"/>
    <x v="365"/>
    <n v="-61"/>
    <n v="2218.4"/>
    <n v="0"/>
    <n v="2218.4"/>
    <s v="DOLARES"/>
    <x v="7"/>
    <x v="16"/>
    <x v="1"/>
    <m/>
    <n v="2218.4"/>
  </r>
  <r>
    <m/>
    <s v="LT 10420-11-00"/>
    <x v="23"/>
    <x v="3"/>
    <x v="365"/>
    <n v="-61"/>
    <n v="8366.39"/>
    <n v="0"/>
    <n v="8366.39"/>
    <s v="DOLARES"/>
    <x v="7"/>
    <x v="19"/>
    <x v="1"/>
    <m/>
    <n v="8366.39"/>
  </r>
  <r>
    <s v="VENCE 27/04"/>
    <s v="CLP-464"/>
    <x v="3"/>
    <x v="2"/>
    <x v="366"/>
    <n v="-60"/>
    <n v="160"/>
    <n v="0"/>
    <n v="160"/>
    <s v="SOLES"/>
    <x v="1"/>
    <x v="3"/>
    <x v="1"/>
    <m/>
    <n v="43.835616438356162"/>
  </r>
  <r>
    <s v="TASA 8.9%"/>
    <s v="CUOTA 71 DE 114"/>
    <x v="33"/>
    <x v="3"/>
    <x v="367"/>
    <n v="-62"/>
    <n v="22961.27"/>
    <n v="0"/>
    <n v="22961.27"/>
    <s v="SOLES"/>
    <x v="1"/>
    <x v="15"/>
    <x v="1"/>
    <m/>
    <n v="6290.7589041095889"/>
  </r>
  <r>
    <s v="TASA 15%"/>
    <s v="CUOTA 16 DE 24"/>
    <x v="35"/>
    <x v="1"/>
    <x v="368"/>
    <n v="-64"/>
    <n v="9768.16"/>
    <n v="0"/>
    <n v="9768.16"/>
    <s v="SOLES"/>
    <x v="1"/>
    <x v="15"/>
    <x v="1"/>
    <m/>
    <n v="2676.2082191780823"/>
  </r>
  <r>
    <n v="2024"/>
    <s v="ABRIL PERIODO"/>
    <x v="1"/>
    <x v="3"/>
    <x v="368"/>
    <n v="-64"/>
    <n v="19987"/>
    <n v="0"/>
    <n v="19987"/>
    <s v="SOLES"/>
    <x v="1"/>
    <x v="1"/>
    <x v="1"/>
    <m/>
    <n v="5475.8904109589039"/>
  </r>
  <r>
    <s v="VENCIO 19/12"/>
    <s v="NEF 2022001203"/>
    <x v="84"/>
    <x v="1"/>
    <x v="368"/>
    <n v="-64"/>
    <n v="38957.519999999997"/>
    <n v="0"/>
    <n v="38957.519999999997"/>
    <s v="DOLARES"/>
    <x v="1"/>
    <x v="14"/>
    <x v="1"/>
    <m/>
    <n v="38957.519999999997"/>
  </r>
  <r>
    <s v="VENCIO 08/01/23"/>
    <s v="NEF20220001297"/>
    <x v="84"/>
    <x v="1"/>
    <x v="368"/>
    <n v="-64"/>
    <n v="2863.33"/>
    <n v="0"/>
    <n v="2863.33"/>
    <s v="DOLARES"/>
    <x v="1"/>
    <x v="14"/>
    <x v="1"/>
    <m/>
    <n v="2863.33"/>
  </r>
  <r>
    <m/>
    <m/>
    <x v="19"/>
    <x v="1"/>
    <x v="369"/>
    <n v="0"/>
    <n v="16000"/>
    <n v="0"/>
    <n v="16000"/>
    <s v="SOLES"/>
    <x v="1"/>
    <x v="17"/>
    <x v="1"/>
    <m/>
    <n v="4383.5616438356165"/>
  </r>
  <r>
    <m/>
    <m/>
    <x v="19"/>
    <x v="3"/>
    <x v="369"/>
    <n v="0"/>
    <n v="25000"/>
    <n v="0"/>
    <n v="25000"/>
    <s v="SOLES"/>
    <x v="1"/>
    <x v="17"/>
    <x v="1"/>
    <m/>
    <n v="6849.3150684931506"/>
  </r>
  <r>
    <m/>
    <m/>
    <x v="19"/>
    <x v="2"/>
    <x v="369"/>
    <n v="0"/>
    <n v="25000"/>
    <n v="0"/>
    <n v="25000"/>
    <s v="SOLES"/>
    <x v="1"/>
    <x v="17"/>
    <x v="1"/>
    <m/>
    <n v="6849.3150684931506"/>
  </r>
  <r>
    <m/>
    <m/>
    <x v="19"/>
    <x v="0"/>
    <x v="369"/>
    <n v="0"/>
    <n v="12000"/>
    <n v="0"/>
    <n v="25000"/>
    <s v="SOLES"/>
    <x v="1"/>
    <x v="17"/>
    <x v="1"/>
    <m/>
    <n v="6849.3150684931506"/>
  </r>
  <r>
    <s v="TASA 8.95%"/>
    <s v="DESEMBOLSO 100K 09/04 - 2 CUO"/>
    <x v="28"/>
    <x v="3"/>
    <x v="370"/>
    <n v="-72"/>
    <n v="51253.29"/>
    <n v="0"/>
    <n v="51253.29"/>
    <s v="DOLARES"/>
    <x v="1"/>
    <x v="53"/>
    <x v="1"/>
    <m/>
    <n v="51253.29"/>
  </r>
  <r>
    <m/>
    <s v="LT 2026/007"/>
    <x v="44"/>
    <x v="2"/>
    <x v="370"/>
    <n v="-72"/>
    <n v="1644.4"/>
    <n v="0"/>
    <n v="1644.4"/>
    <s v="DOLARES"/>
    <x v="8"/>
    <x v="38"/>
    <x v="1"/>
    <m/>
    <n v="1644.4"/>
  </r>
  <r>
    <s v="TASA 7.2%"/>
    <s v="CUOTA 17 DE 180"/>
    <x v="54"/>
    <x v="0"/>
    <x v="371"/>
    <n v="-77"/>
    <n v="30099.17"/>
    <n v="0"/>
    <n v="30099.17"/>
    <s v="SOLES"/>
    <x v="2"/>
    <x v="15"/>
    <x v="1"/>
    <m/>
    <n v="8246.3479452054798"/>
  </r>
  <r>
    <m/>
    <s v="LT 0001178"/>
    <x v="38"/>
    <x v="1"/>
    <x v="372"/>
    <n v="-78"/>
    <n v="27239.17"/>
    <n v="0"/>
    <n v="27239.17"/>
    <s v="DOLARES"/>
    <x v="7"/>
    <x v="14"/>
    <x v="1"/>
    <m/>
    <n v="27239.17"/>
  </r>
  <r>
    <m/>
    <s v="25NOV - 26ABR"/>
    <x v="85"/>
    <x v="3"/>
    <x v="373"/>
    <n v="-79"/>
    <n v="8000"/>
    <n v="0"/>
    <n v="8000"/>
    <s v="SOLES"/>
    <x v="1"/>
    <x v="72"/>
    <x v="1"/>
    <m/>
    <n v="2191.7808219178082"/>
  </r>
  <r>
    <m/>
    <s v="25NOV - 26ABR"/>
    <x v="85"/>
    <x v="1"/>
    <x v="373"/>
    <n v="-79"/>
    <n v="6000"/>
    <n v="0"/>
    <n v="6000"/>
    <s v="SOLES"/>
    <x v="1"/>
    <x v="72"/>
    <x v="1"/>
    <m/>
    <n v="1643.8356164383563"/>
  </r>
  <r>
    <m/>
    <s v="25NOV - 26ABR"/>
    <x v="85"/>
    <x v="5"/>
    <x v="373"/>
    <n v="-79"/>
    <n v="7000"/>
    <n v="0"/>
    <n v="7000"/>
    <s v="SOLES"/>
    <x v="1"/>
    <x v="72"/>
    <x v="1"/>
    <m/>
    <n v="1917.8082191780823"/>
  </r>
  <r>
    <m/>
    <m/>
    <x v="19"/>
    <x v="1"/>
    <x v="373"/>
    <n v="-79"/>
    <n v="13000"/>
    <n v="0"/>
    <n v="13000"/>
    <s v="SOLES"/>
    <x v="1"/>
    <x v="17"/>
    <x v="1"/>
    <m/>
    <n v="3561.6438356164385"/>
  </r>
  <r>
    <m/>
    <m/>
    <x v="19"/>
    <x v="3"/>
    <x v="373"/>
    <n v="-79"/>
    <n v="21000"/>
    <n v="0"/>
    <n v="21000"/>
    <s v="SOLES"/>
    <x v="1"/>
    <x v="17"/>
    <x v="1"/>
    <m/>
    <n v="5753.4246575342468"/>
  </r>
  <r>
    <m/>
    <m/>
    <x v="19"/>
    <x v="2"/>
    <x v="373"/>
    <n v="-79"/>
    <n v="21000"/>
    <n v="0"/>
    <n v="21000"/>
    <s v="SOLES"/>
    <x v="1"/>
    <x v="17"/>
    <x v="1"/>
    <m/>
    <n v="5753.4246575342468"/>
  </r>
  <r>
    <m/>
    <m/>
    <x v="19"/>
    <x v="0"/>
    <x v="373"/>
    <n v="-79"/>
    <n v="8000"/>
    <n v="0"/>
    <n v="8000"/>
    <s v="SOLES"/>
    <x v="1"/>
    <x v="17"/>
    <x v="1"/>
    <m/>
    <n v="2191.7808219178082"/>
  </r>
  <r>
    <m/>
    <s v="LT 10475-11-00"/>
    <x v="23"/>
    <x v="2"/>
    <x v="374"/>
    <n v="-82"/>
    <n v="9097.8700000000008"/>
    <n v="0"/>
    <n v="9097.8700000000008"/>
    <s v="DOLARES"/>
    <x v="3"/>
    <x v="19"/>
    <x v="1"/>
    <m/>
    <n v="9097.8700000000008"/>
  </r>
  <r>
    <m/>
    <s v="LT 7686"/>
    <x v="18"/>
    <x v="2"/>
    <x v="375"/>
    <n v="-83"/>
    <n v="826"/>
    <n v="0"/>
    <n v="826"/>
    <s v="DOLARES"/>
    <x v="3"/>
    <x v="16"/>
    <x v="1"/>
    <m/>
    <n v="826"/>
  </r>
  <r>
    <m/>
    <s v="CUOTA 24 DE 33"/>
    <x v="29"/>
    <x v="1"/>
    <x v="376"/>
    <n v="-89"/>
    <n v="11778.38"/>
    <n v="0"/>
    <n v="11778.38"/>
    <s v="SOLES"/>
    <x v="2"/>
    <x v="15"/>
    <x v="1"/>
    <m/>
    <n v="3226.953424657534"/>
  </r>
  <r>
    <s v="TASA 8.9%"/>
    <s v="CUOTA 72 DE 114"/>
    <x v="33"/>
    <x v="3"/>
    <x v="377"/>
    <n v="-92"/>
    <n v="23029.74"/>
    <n v="0"/>
    <n v="23029.74"/>
    <s v="SOLES"/>
    <x v="1"/>
    <x v="15"/>
    <x v="1"/>
    <m/>
    <n v="6309.5178082191787"/>
  </r>
  <r>
    <s v="CHP-029"/>
    <s v="CUOTA 02 DE 04"/>
    <x v="45"/>
    <x v="3"/>
    <x v="378"/>
    <n v="-91"/>
    <n v="371.85"/>
    <n v="0"/>
    <n v="371.85"/>
    <s v="SOLES"/>
    <x v="1"/>
    <x v="1"/>
    <x v="1"/>
    <m/>
    <n v="101.87671232876713"/>
  </r>
  <r>
    <s v="CLP-464"/>
    <s v="CUOTA 02 DE 04"/>
    <x v="45"/>
    <x v="2"/>
    <x v="379"/>
    <n v="-93"/>
    <n v="300"/>
    <n v="0"/>
    <n v="300"/>
    <s v="SOLES"/>
    <x v="1"/>
    <x v="1"/>
    <x v="1"/>
    <m/>
    <n v="82.191780821917817"/>
  </r>
  <r>
    <s v="TASA 15%"/>
    <s v="CUOTA 17 DE 24"/>
    <x v="35"/>
    <x v="1"/>
    <x v="380"/>
    <n v="-94"/>
    <n v="9768.16"/>
    <n v="0"/>
    <n v="9768.16"/>
    <s v="SOLES"/>
    <x v="1"/>
    <x v="15"/>
    <x v="1"/>
    <m/>
    <n v="2676.2082191780823"/>
  </r>
  <r>
    <m/>
    <m/>
    <x v="19"/>
    <x v="1"/>
    <x v="381"/>
    <n v="0"/>
    <n v="16000"/>
    <n v="0"/>
    <n v="16000"/>
    <s v="SOLES"/>
    <x v="1"/>
    <x v="17"/>
    <x v="1"/>
    <m/>
    <n v="4383.5616438356165"/>
  </r>
  <r>
    <m/>
    <m/>
    <x v="19"/>
    <x v="3"/>
    <x v="381"/>
    <n v="0"/>
    <n v="25000"/>
    <n v="0"/>
    <n v="25000"/>
    <s v="SOLES"/>
    <x v="1"/>
    <x v="17"/>
    <x v="1"/>
    <m/>
    <n v="6849.3150684931506"/>
  </r>
  <r>
    <m/>
    <m/>
    <x v="19"/>
    <x v="2"/>
    <x v="381"/>
    <n v="0"/>
    <n v="25000"/>
    <n v="0"/>
    <n v="25000"/>
    <s v="SOLES"/>
    <x v="1"/>
    <x v="17"/>
    <x v="1"/>
    <m/>
    <n v="6849.3150684931506"/>
  </r>
  <r>
    <m/>
    <m/>
    <x v="19"/>
    <x v="0"/>
    <x v="381"/>
    <n v="0"/>
    <n v="12000"/>
    <n v="0"/>
    <n v="25000"/>
    <s v="SOLES"/>
    <x v="1"/>
    <x v="17"/>
    <x v="1"/>
    <m/>
    <n v="6849.3150684931506"/>
  </r>
  <r>
    <s v="TASA 7.2%"/>
    <s v="CUOTA 18 DE 180"/>
    <x v="54"/>
    <x v="0"/>
    <x v="382"/>
    <n v="-108"/>
    <n v="30099.17"/>
    <n v="0"/>
    <n v="30099.17"/>
    <s v="SOLES"/>
    <x v="2"/>
    <x v="15"/>
    <x v="1"/>
    <m/>
    <n v="8246.3479452054798"/>
  </r>
  <r>
    <m/>
    <m/>
    <x v="19"/>
    <x v="1"/>
    <x v="383"/>
    <n v="-110"/>
    <n v="13000"/>
    <n v="0"/>
    <n v="13000"/>
    <s v="SOLES"/>
    <x v="1"/>
    <x v="17"/>
    <x v="1"/>
    <m/>
    <n v="3561.6438356164385"/>
  </r>
  <r>
    <m/>
    <m/>
    <x v="19"/>
    <x v="3"/>
    <x v="383"/>
    <n v="-110"/>
    <n v="21000"/>
    <n v="0"/>
    <n v="21000"/>
    <s v="SOLES"/>
    <x v="1"/>
    <x v="17"/>
    <x v="1"/>
    <m/>
    <n v="5753.4246575342468"/>
  </r>
  <r>
    <m/>
    <m/>
    <x v="19"/>
    <x v="2"/>
    <x v="383"/>
    <n v="-110"/>
    <n v="21000"/>
    <n v="0"/>
    <n v="21000"/>
    <s v="SOLES"/>
    <x v="1"/>
    <x v="17"/>
    <x v="1"/>
    <m/>
    <n v="5753.4246575342468"/>
  </r>
  <r>
    <m/>
    <m/>
    <x v="19"/>
    <x v="0"/>
    <x v="383"/>
    <n v="-110"/>
    <n v="8000"/>
    <n v="0"/>
    <n v="8000"/>
    <s v="SOLES"/>
    <x v="1"/>
    <x v="17"/>
    <x v="1"/>
    <m/>
    <n v="2191.7808219178082"/>
  </r>
  <r>
    <m/>
    <s v="CUOTA 25 DE 33"/>
    <x v="29"/>
    <x v="1"/>
    <x v="384"/>
    <n v="-119"/>
    <n v="11778.38"/>
    <n v="0"/>
    <n v="11778.38"/>
    <s v="SOLES"/>
    <x v="2"/>
    <x v="15"/>
    <x v="1"/>
    <m/>
    <n v="3226.953424657534"/>
  </r>
  <r>
    <n v="2025"/>
    <s v="AGOSTO PERIODO"/>
    <x v="1"/>
    <x v="3"/>
    <x v="385"/>
    <n v="-124"/>
    <n v="73352"/>
    <n v="0"/>
    <n v="73352"/>
    <s v="SOLES"/>
    <x v="1"/>
    <x v="1"/>
    <x v="1"/>
    <m/>
    <n v="20096.438356164384"/>
  </r>
  <r>
    <s v="TASA 8.9%"/>
    <s v="CUOTA 73 DE 114"/>
    <x v="33"/>
    <x v="3"/>
    <x v="386"/>
    <n v="-125"/>
    <n v="23458.63"/>
    <n v="0"/>
    <n v="23458.63"/>
    <s v="SOLES"/>
    <x v="1"/>
    <x v="15"/>
    <x v="1"/>
    <m/>
    <n v="6427.0219178082198"/>
  </r>
  <r>
    <s v="TASA 15%"/>
    <s v="CUOTA 18 DE 24"/>
    <x v="35"/>
    <x v="1"/>
    <x v="386"/>
    <n v="-125"/>
    <n v="9768.16"/>
    <n v="0"/>
    <n v="9768.16"/>
    <s v="SOLES"/>
    <x v="1"/>
    <x v="15"/>
    <x v="1"/>
    <m/>
    <n v="2676.2082191780823"/>
  </r>
  <r>
    <s v="TASA 7.2%"/>
    <s v="CUOTA 19 DE 180"/>
    <x v="54"/>
    <x v="0"/>
    <x v="387"/>
    <n v="-138"/>
    <n v="30099.17"/>
    <n v="0"/>
    <n v="30099.17"/>
    <s v="SOLES"/>
    <x v="2"/>
    <x v="15"/>
    <x v="1"/>
    <m/>
    <n v="8246.3479452054798"/>
  </r>
  <r>
    <m/>
    <s v="CUOTA 26 DE 33"/>
    <x v="29"/>
    <x v="1"/>
    <x v="388"/>
    <n v="-149"/>
    <n v="11778.38"/>
    <n v="0"/>
    <n v="11778.38"/>
    <s v="SOLES"/>
    <x v="2"/>
    <x v="15"/>
    <x v="1"/>
    <m/>
    <n v="3226.953424657534"/>
  </r>
  <r>
    <s v="VENCE 25/07"/>
    <s v="D1Y-757"/>
    <x v="3"/>
    <x v="3"/>
    <x v="388"/>
    <n v="-149"/>
    <n v="160"/>
    <n v="0"/>
    <n v="160"/>
    <s v="SOLES"/>
    <x v="1"/>
    <x v="3"/>
    <x v="1"/>
    <m/>
    <n v="43.835616438356162"/>
  </r>
  <r>
    <s v="APLAZADO"/>
    <s v="SETIEMBRE PERIODO"/>
    <x v="1"/>
    <x v="1"/>
    <x v="389"/>
    <n v="-154"/>
    <n v="25712"/>
    <n v="0"/>
    <n v="25712"/>
    <s v="SOLES"/>
    <x v="1"/>
    <x v="1"/>
    <x v="1"/>
    <m/>
    <n v="7044.3835616438355"/>
  </r>
  <r>
    <s v="TASA 8.9%"/>
    <s v="CUOTA 74 DE 114"/>
    <x v="33"/>
    <x v="3"/>
    <x v="390"/>
    <n v="-155"/>
    <n v="22781.64"/>
    <n v="0"/>
    <n v="22781.64"/>
    <s v="SOLES"/>
    <x v="1"/>
    <x v="15"/>
    <x v="1"/>
    <m/>
    <n v="6241.5452054794523"/>
  </r>
  <r>
    <s v="TASA 15%"/>
    <s v="CUOTA 19 DE 24"/>
    <x v="35"/>
    <x v="1"/>
    <x v="390"/>
    <n v="-155"/>
    <n v="9768.16"/>
    <n v="0"/>
    <n v="9768.16"/>
    <s v="SOLES"/>
    <x v="1"/>
    <x v="15"/>
    <x v="1"/>
    <m/>
    <n v="2676.2082191780823"/>
  </r>
  <r>
    <s v="TASA 7.2%"/>
    <s v="CUOTA 20 DE 180"/>
    <x v="54"/>
    <x v="0"/>
    <x v="391"/>
    <n v="-169"/>
    <n v="30099.17"/>
    <n v="0"/>
    <n v="30099.17"/>
    <s v="SOLES"/>
    <x v="2"/>
    <x v="15"/>
    <x v="1"/>
    <m/>
    <n v="8246.3479452054798"/>
  </r>
  <r>
    <m/>
    <s v="CUOTA 27 DE 33"/>
    <x v="29"/>
    <x v="1"/>
    <x v="392"/>
    <n v="-180"/>
    <n v="11778.38"/>
    <n v="0"/>
    <n v="11778.38"/>
    <s v="SOLES"/>
    <x v="2"/>
    <x v="15"/>
    <x v="1"/>
    <m/>
    <n v="3226.953424657534"/>
  </r>
  <r>
    <s v="TASA 8.9%"/>
    <s v="CUOTA 75 DE 114"/>
    <x v="33"/>
    <x v="3"/>
    <x v="393"/>
    <n v="-184"/>
    <n v="22481.66"/>
    <n v="0"/>
    <n v="22481.66"/>
    <s v="SOLES"/>
    <x v="1"/>
    <x v="15"/>
    <x v="1"/>
    <m/>
    <n v="6159.3589041095893"/>
  </r>
  <r>
    <s v="TASA 15%"/>
    <s v="CUOTA 20 DE 24"/>
    <x v="35"/>
    <x v="1"/>
    <x v="394"/>
    <n v="-186"/>
    <n v="9768.16"/>
    <n v="0"/>
    <n v="9768.16"/>
    <s v="SOLES"/>
    <x v="1"/>
    <x v="15"/>
    <x v="1"/>
    <m/>
    <n v="2676.2082191780823"/>
  </r>
  <r>
    <s v="CHP-029"/>
    <s v="CUOTA 03 DE 04"/>
    <x v="45"/>
    <x v="3"/>
    <x v="395"/>
    <n v="-187"/>
    <n v="371.85"/>
    <n v="0"/>
    <n v="371.85"/>
    <s v="SOLES"/>
    <x v="1"/>
    <x v="1"/>
    <x v="1"/>
    <m/>
    <n v="101.87671232876713"/>
  </r>
  <r>
    <s v="CLP-464"/>
    <s v="CUOTA 03 DE 04"/>
    <x v="45"/>
    <x v="2"/>
    <x v="395"/>
    <n v="-187"/>
    <n v="300"/>
    <n v="0"/>
    <n v="300"/>
    <s v="SOLES"/>
    <x v="1"/>
    <x v="1"/>
    <x v="1"/>
    <m/>
    <n v="82.191780821917817"/>
  </r>
  <r>
    <s v="VENCE 06/09"/>
    <s v="CHP-029"/>
    <x v="3"/>
    <x v="3"/>
    <x v="396"/>
    <n v="-192"/>
    <n v="160"/>
    <n v="0"/>
    <n v="160"/>
    <s v="SOLES"/>
    <x v="1"/>
    <x v="3"/>
    <x v="1"/>
    <m/>
    <n v="43.835616438356162"/>
  </r>
  <r>
    <s v="TASA 7.2%"/>
    <s v="CUOTA 21 DE 180"/>
    <x v="54"/>
    <x v="0"/>
    <x v="397"/>
    <n v="-201"/>
    <n v="30099.17"/>
    <n v="0"/>
    <n v="30099.17"/>
    <s v="SOLES"/>
    <x v="2"/>
    <x v="15"/>
    <x v="1"/>
    <m/>
    <n v="8246.3479452054798"/>
  </r>
  <r>
    <m/>
    <s v="CUOTA 28 DE 33"/>
    <x v="29"/>
    <x v="1"/>
    <x v="398"/>
    <n v="-211"/>
    <n v="11778.38"/>
    <n v="0"/>
    <n v="11778.38"/>
    <s v="SOLES"/>
    <x v="2"/>
    <x v="15"/>
    <x v="1"/>
    <m/>
    <n v="3226.953424657534"/>
  </r>
  <r>
    <s v="TASA 8.9%"/>
    <s v="CUOTA 76 DE 114"/>
    <x v="33"/>
    <x v="3"/>
    <x v="399"/>
    <n v="-215"/>
    <n v="22705.35"/>
    <n v="0"/>
    <n v="22705.35"/>
    <s v="SOLES"/>
    <x v="1"/>
    <x v="15"/>
    <x v="1"/>
    <m/>
    <n v="6220.6438356164381"/>
  </r>
  <r>
    <s v="TASA 15%"/>
    <s v="CUOTA 21 DE 24"/>
    <x v="35"/>
    <x v="1"/>
    <x v="400"/>
    <n v="-217"/>
    <n v="9768.16"/>
    <n v="0"/>
    <n v="9768.16"/>
    <s v="SOLES"/>
    <x v="1"/>
    <x v="15"/>
    <x v="1"/>
    <m/>
    <n v="2676.2082191780823"/>
  </r>
  <r>
    <s v="TASA 7.2%"/>
    <s v="CUOTA 22 DE 180"/>
    <x v="54"/>
    <x v="0"/>
    <x v="401"/>
    <n v="-230"/>
    <n v="30099.17"/>
    <n v="0"/>
    <n v="30099.17"/>
    <s v="SOLES"/>
    <x v="2"/>
    <x v="15"/>
    <x v="1"/>
    <m/>
    <n v="8246.3479452054798"/>
  </r>
  <r>
    <m/>
    <s v="CUOTA 29 DE 33"/>
    <x v="29"/>
    <x v="1"/>
    <x v="402"/>
    <n v="-241"/>
    <n v="11778.38"/>
    <n v="0"/>
    <n v="11778.38"/>
    <s v="SOLES"/>
    <x v="2"/>
    <x v="15"/>
    <x v="1"/>
    <m/>
    <n v="3226.953424657534"/>
  </r>
  <r>
    <s v="TASA 8.9%"/>
    <s v="CUOTA 77 DE 114"/>
    <x v="33"/>
    <x v="3"/>
    <x v="403"/>
    <n v="-245"/>
    <n v="22705.35"/>
    <n v="0"/>
    <n v="22705.35"/>
    <s v="SOLES"/>
    <x v="1"/>
    <x v="15"/>
    <x v="1"/>
    <m/>
    <n v="6220.6438356164381"/>
  </r>
  <r>
    <s v="TASA 15%"/>
    <s v="CUOTA 22 DE 24"/>
    <x v="35"/>
    <x v="1"/>
    <x v="404"/>
    <n v="-247"/>
    <n v="9768.16"/>
    <n v="0"/>
    <n v="9768.16"/>
    <s v="SOLES"/>
    <x v="1"/>
    <x v="15"/>
    <x v="1"/>
    <m/>
    <n v="2676.2082191780823"/>
  </r>
  <r>
    <s v="TASA 7.2%"/>
    <s v="CUOTA 23 DE 180"/>
    <x v="54"/>
    <x v="0"/>
    <x v="405"/>
    <n v="-261"/>
    <n v="30099.17"/>
    <n v="0"/>
    <n v="30099.17"/>
    <s v="SOLES"/>
    <x v="2"/>
    <x v="15"/>
    <x v="1"/>
    <m/>
    <n v="8246.3479452054798"/>
  </r>
  <r>
    <m/>
    <s v="CUOTA 30 DE 33"/>
    <x v="29"/>
    <x v="1"/>
    <x v="406"/>
    <n v="-272"/>
    <n v="11778.38"/>
    <n v="0"/>
    <n v="11778.38"/>
    <s v="SOLES"/>
    <x v="2"/>
    <x v="15"/>
    <x v="1"/>
    <m/>
    <n v="3226.953424657534"/>
  </r>
  <r>
    <s v="VENCE 26/11"/>
    <s v="C3S-910"/>
    <x v="3"/>
    <x v="2"/>
    <x v="407"/>
    <n v="-273"/>
    <n v="160"/>
    <n v="0"/>
    <n v="160"/>
    <s v="SOLES"/>
    <x v="1"/>
    <x v="3"/>
    <x v="1"/>
    <m/>
    <n v="43.835616438356162"/>
  </r>
  <r>
    <s v="VENCE 28/11"/>
    <s v="F1Q-842"/>
    <x v="3"/>
    <x v="3"/>
    <x v="408"/>
    <n v="-275"/>
    <n v="160"/>
    <n v="0"/>
    <n v="160"/>
    <s v="SOLES"/>
    <x v="1"/>
    <x v="3"/>
    <x v="1"/>
    <m/>
    <n v="43.835616438356162"/>
  </r>
  <r>
    <s v="VENCE 29/11"/>
    <s v="BML-739"/>
    <x v="3"/>
    <x v="1"/>
    <x v="409"/>
    <n v="-276"/>
    <n v="160"/>
    <n v="0"/>
    <n v="160"/>
    <s v="SOLES"/>
    <x v="1"/>
    <x v="3"/>
    <x v="1"/>
    <m/>
    <n v="43.835616438356162"/>
  </r>
  <r>
    <s v="TASA 8.9%"/>
    <s v="CUOTA 78 DE 114"/>
    <x v="33"/>
    <x v="3"/>
    <x v="410"/>
    <n v="-278"/>
    <n v="22776.11"/>
    <n v="0"/>
    <n v="22776.11"/>
    <s v="SOLES"/>
    <x v="1"/>
    <x v="15"/>
    <x v="1"/>
    <m/>
    <n v="6240.0301369863018"/>
  </r>
  <r>
    <s v="TASA 15%"/>
    <s v="CUOTA 23 DE 24"/>
    <x v="35"/>
    <x v="1"/>
    <x v="410"/>
    <n v="-278"/>
    <n v="9768.16"/>
    <n v="0"/>
    <n v="9768.16"/>
    <s v="SOLES"/>
    <x v="1"/>
    <x v="15"/>
    <x v="1"/>
    <m/>
    <n v="2676.2082191780823"/>
  </r>
  <r>
    <s v="CHP-029"/>
    <s v="CUOTA 04 DE 04"/>
    <x v="45"/>
    <x v="3"/>
    <x v="410"/>
    <n v="-278"/>
    <n v="371.85"/>
    <n v="0"/>
    <n v="371.85"/>
    <s v="SOLES"/>
    <x v="1"/>
    <x v="1"/>
    <x v="1"/>
    <m/>
    <n v="101.87671232876713"/>
  </r>
  <r>
    <s v="CLP-464"/>
    <s v="CUOTA 04 DE 04"/>
    <x v="45"/>
    <x v="2"/>
    <x v="395"/>
    <n v="-187"/>
    <n v="300"/>
    <n v="0"/>
    <n v="300"/>
    <s v="SOLES"/>
    <x v="1"/>
    <x v="1"/>
    <x v="1"/>
    <m/>
    <n v="82.191780821917817"/>
  </r>
  <r>
    <s v="TASA 7.2%"/>
    <s v="CUOTA 24 DE 180"/>
    <x v="54"/>
    <x v="0"/>
    <x v="411"/>
    <n v="-292"/>
    <n v="30099.17"/>
    <n v="0"/>
    <n v="30099.17"/>
    <s v="SOLES"/>
    <x v="2"/>
    <x v="15"/>
    <x v="1"/>
    <m/>
    <n v="8246.3479452054798"/>
  </r>
  <r>
    <m/>
    <s v="CUOTA 31 DE 33"/>
    <x v="29"/>
    <x v="1"/>
    <x v="412"/>
    <n v="-302"/>
    <n v="11778.38"/>
    <n v="0"/>
    <n v="11778.38"/>
    <s v="SOLES"/>
    <x v="2"/>
    <x v="15"/>
    <x v="1"/>
    <m/>
    <n v="3226.953424657534"/>
  </r>
  <r>
    <s v="TASA 8.9%"/>
    <s v="CUOTA 79 DE 114"/>
    <x v="33"/>
    <x v="3"/>
    <x v="413"/>
    <n v="-306"/>
    <n v="21842.75"/>
    <n v="0"/>
    <n v="21842.75"/>
    <s v="SOLES"/>
    <x v="1"/>
    <x v="15"/>
    <x v="1"/>
    <m/>
    <n v="5984.3150684931506"/>
  </r>
  <r>
    <s v="TASA 15%"/>
    <s v="CUOTA 24 DE 24"/>
    <x v="35"/>
    <x v="1"/>
    <x v="414"/>
    <n v="-308"/>
    <n v="9740.58"/>
    <n v="0"/>
    <n v="9740.58"/>
    <s v="SOLES"/>
    <x v="1"/>
    <x v="15"/>
    <x v="1"/>
    <m/>
    <n v="2668.6520547945206"/>
  </r>
  <r>
    <m/>
    <s v="CUOTA 32 DE 33"/>
    <x v="29"/>
    <x v="1"/>
    <x v="415"/>
    <n v="-334"/>
    <n v="11778.38"/>
    <n v="0"/>
    <n v="11778.38"/>
    <s v="SOLES"/>
    <x v="2"/>
    <x v="15"/>
    <x v="1"/>
    <m/>
    <n v="3226.953424657534"/>
  </r>
  <r>
    <s v="VENCE 12/02"/>
    <s v="D2B-746"/>
    <x v="3"/>
    <x v="2"/>
    <x v="416"/>
    <n v="-351"/>
    <n v="160"/>
    <n v="0"/>
    <n v="160"/>
    <s v="SOLES"/>
    <x v="1"/>
    <x v="3"/>
    <x v="1"/>
    <m/>
    <n v="43.835616438356162"/>
  </r>
  <r>
    <m/>
    <s v="CUOTA 33 DE 33"/>
    <x v="29"/>
    <x v="1"/>
    <x v="417"/>
    <n v="-364"/>
    <n v="11778.38"/>
    <n v="0"/>
    <n v="11778.38"/>
    <s v="SOLES"/>
    <x v="2"/>
    <x v="15"/>
    <x v="1"/>
    <m/>
    <n v="3226.953424657534"/>
  </r>
  <r>
    <m/>
    <m/>
    <x v="86"/>
    <x v="0"/>
    <x v="418"/>
    <n v="-311"/>
    <n v="5000"/>
    <m/>
    <n v="5000"/>
    <s v="SOLES"/>
    <x v="0"/>
    <x v="21"/>
    <x v="1"/>
    <m/>
    <n v="1369.8630136986301"/>
  </r>
  <r>
    <m/>
    <m/>
    <x v="86"/>
    <x v="0"/>
    <x v="419"/>
    <n v="-342"/>
    <n v="5000"/>
    <m/>
    <n v="5000"/>
    <s v="SOLES"/>
    <x v="0"/>
    <x v="21"/>
    <x v="1"/>
    <m/>
    <n v="1369.8630136986301"/>
  </r>
  <r>
    <m/>
    <m/>
    <x v="86"/>
    <x v="0"/>
    <x v="420"/>
    <n v="-370"/>
    <n v="5000"/>
    <m/>
    <n v="5000"/>
    <s v="SOLES"/>
    <x v="0"/>
    <x v="21"/>
    <x v="1"/>
    <m/>
    <n v="1369.8630136986301"/>
  </r>
  <r>
    <m/>
    <m/>
    <x v="86"/>
    <x v="3"/>
    <x v="421"/>
    <n v="-401"/>
    <n v="5000"/>
    <m/>
    <n v="5000"/>
    <s v="SOLES"/>
    <x v="0"/>
    <x v="21"/>
    <x v="1"/>
    <m/>
    <n v="1369.8630136986301"/>
  </r>
  <r>
    <m/>
    <m/>
    <x v="86"/>
    <x v="0"/>
    <x v="422"/>
    <n v="-431"/>
    <n v="5000"/>
    <m/>
    <n v="5000"/>
    <s v="SOLES"/>
    <x v="0"/>
    <x v="21"/>
    <x v="1"/>
    <m/>
    <n v="1369.86301369863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77D720-1082-4C3D-A064-95050457A560}" name="TablaDinámica1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6" indent="0" outline="1" outlineData="1" multipleFieldFilters="0" chartFormat="6">
  <location ref="I163:BJ171" firstHeaderRow="1" firstDataRow="3" firstDataCol="1"/>
  <pivotFields count="16">
    <pivotField showAll="0"/>
    <pivotField showAll="0"/>
    <pivotField showAll="0">
      <items count="326">
        <item m="1" x="179"/>
        <item m="1" x="194"/>
        <item m="1" x="196"/>
        <item x="70"/>
        <item x="4"/>
        <item x="71"/>
        <item x="8"/>
        <item m="1" x="110"/>
        <item m="1" x="301"/>
        <item m="1" x="228"/>
        <item x="62"/>
        <item m="1" x="238"/>
        <item m="1" x="324"/>
        <item m="1" x="91"/>
        <item m="1" x="255"/>
        <item x="20"/>
        <item m="1" x="313"/>
        <item x="42"/>
        <item x="18"/>
        <item m="1" x="323"/>
        <item m="1" x="178"/>
        <item m="1" x="309"/>
        <item m="1" x="296"/>
        <item m="1" x="140"/>
        <item m="1" x="92"/>
        <item m="1" x="105"/>
        <item m="1" x="104"/>
        <item m="1" x="96"/>
        <item m="1" x="89"/>
        <item m="1" x="243"/>
        <item x="69"/>
        <item m="1" x="230"/>
        <item m="1" x="200"/>
        <item m="1" x="234"/>
        <item m="1" x="289"/>
        <item m="1" x="267"/>
        <item m="1" x="248"/>
        <item m="1" x="262"/>
        <item m="1" x="264"/>
        <item m="1" x="246"/>
        <item m="1" x="242"/>
        <item x="6"/>
        <item m="1" x="167"/>
        <item x="81"/>
        <item x="11"/>
        <item m="1" x="318"/>
        <item x="27"/>
        <item m="1" x="193"/>
        <item m="1" x="272"/>
        <item m="1" x="189"/>
        <item m="1" x="184"/>
        <item m="1" x="180"/>
        <item m="1" x="162"/>
        <item x="44"/>
        <item x="10"/>
        <item m="1" x="294"/>
        <item m="1" x="176"/>
        <item x="30"/>
        <item m="1" x="253"/>
        <item m="1" x="112"/>
        <item m="1" x="251"/>
        <item x="40"/>
        <item m="1" x="125"/>
        <item x="85"/>
        <item m="1" x="201"/>
        <item m="1" x="271"/>
        <item m="1" x="156"/>
        <item x="7"/>
        <item m="1" x="278"/>
        <item m="1" x="254"/>
        <item m="1" x="95"/>
        <item m="1" x="103"/>
        <item m="1" x="300"/>
        <item m="1" x="117"/>
        <item m="1" x="138"/>
        <item m="1" x="268"/>
        <item m="1" x="315"/>
        <item m="1" x="121"/>
        <item m="1" x="115"/>
        <item m="1" x="108"/>
        <item m="1" x="93"/>
        <item m="1" x="258"/>
        <item m="1" x="182"/>
        <item m="1" x="165"/>
        <item x="52"/>
        <item m="1" x="161"/>
        <item x="53"/>
        <item m="1" x="172"/>
        <item m="1" x="216"/>
        <item x="23"/>
        <item x="37"/>
        <item x="25"/>
        <item m="1" x="168"/>
        <item m="1" x="164"/>
        <item x="48"/>
        <item m="1" x="159"/>
        <item m="1" x="122"/>
        <item x="49"/>
        <item m="1" x="175"/>
        <item m="1" x="236"/>
        <item x="67"/>
        <item m="1" x="269"/>
        <item m="1" x="190"/>
        <item m="1" x="237"/>
        <item x="43"/>
        <item x="80"/>
        <item x="75"/>
        <item m="1" x="169"/>
        <item x="26"/>
        <item m="1" x="244"/>
        <item x="61"/>
        <item m="1" x="147"/>
        <item x="31"/>
        <item m="1" x="185"/>
        <item m="1" x="311"/>
        <item m="1" x="209"/>
        <item x="1"/>
        <item m="1" x="232"/>
        <item x="65"/>
        <item m="1" x="177"/>
        <item x="72"/>
        <item m="1" x="314"/>
        <item m="1" x="293"/>
        <item m="1" x="233"/>
        <item m="1" x="302"/>
        <item m="1" x="299"/>
        <item m="1" x="286"/>
        <item m="1" x="240"/>
        <item m="1" x="266"/>
        <item m="1" x="270"/>
        <item m="1" x="291"/>
        <item m="1" x="152"/>
        <item m="1" x="310"/>
        <item m="1" x="100"/>
        <item m="1" x="249"/>
        <item m="1" x="113"/>
        <item m="1" x="222"/>
        <item m="1" x="290"/>
        <item m="1" x="198"/>
        <item m="1" x="273"/>
        <item m="1" x="174"/>
        <item m="1" x="275"/>
        <item m="1" x="120"/>
        <item m="1" x="226"/>
        <item x="16"/>
        <item m="1" x="217"/>
        <item m="1" x="250"/>
        <item m="1" x="192"/>
        <item m="1" x="292"/>
        <item m="1" x="285"/>
        <item m="1" x="281"/>
        <item m="1" x="154"/>
        <item m="1" x="99"/>
        <item m="1" x="90"/>
        <item m="1" x="257"/>
        <item m="1" x="109"/>
        <item m="1" x="130"/>
        <item m="1" x="205"/>
        <item m="1" x="321"/>
        <item m="1" x="307"/>
        <item m="1" x="225"/>
        <item x="0"/>
        <item m="1" x="303"/>
        <item m="1" x="284"/>
        <item m="1" x="94"/>
        <item m="1" x="98"/>
        <item m="1" x="116"/>
        <item m="1" x="235"/>
        <item m="1" x="118"/>
        <item m="1" x="132"/>
        <item m="1" x="123"/>
        <item m="1" x="280"/>
        <item m="1" x="211"/>
        <item m="1" x="207"/>
        <item m="1" x="317"/>
        <item x="55"/>
        <item m="1" x="106"/>
        <item m="1" x="102"/>
        <item m="1" x="183"/>
        <item x="66"/>
        <item m="1" x="166"/>
        <item m="1" x="126"/>
        <item x="51"/>
        <item m="1" x="263"/>
        <item m="1" x="170"/>
        <item x="76"/>
        <item x="83"/>
        <item m="1" x="129"/>
        <item x="41"/>
        <item x="82"/>
        <item m="1" x="204"/>
        <item m="1" x="241"/>
        <item m="1" x="295"/>
        <item m="1" x="213"/>
        <item m="1" x="312"/>
        <item m="1" x="197"/>
        <item x="22"/>
        <item x="14"/>
        <item m="1" x="203"/>
        <item m="1" x="224"/>
        <item m="1" x="163"/>
        <item m="1" x="282"/>
        <item m="1" x="206"/>
        <item m="1" x="219"/>
        <item m="1" x="220"/>
        <item m="1" x="212"/>
        <item m="1" x="215"/>
        <item m="1" x="288"/>
        <item m="1" x="208"/>
        <item m="1" x="308"/>
        <item m="1" x="136"/>
        <item m="1" x="141"/>
        <item m="1" x="298"/>
        <item m="1" x="137"/>
        <item m="1" x="111"/>
        <item m="1" x="131"/>
        <item m="1" x="142"/>
        <item m="1" x="143"/>
        <item x="47"/>
        <item m="1" x="188"/>
        <item m="1" x="319"/>
        <item x="68"/>
        <item m="1" x="150"/>
        <item m="1" x="231"/>
        <item m="1" x="277"/>
        <item m="1" x="101"/>
        <item x="57"/>
        <item m="1" x="199"/>
        <item m="1" x="145"/>
        <item m="1" x="316"/>
        <item x="84"/>
        <item m="1" x="210"/>
        <item m="1" x="171"/>
        <item m="1" x="151"/>
        <item m="1" x="306"/>
        <item m="1" x="261"/>
        <item x="39"/>
        <item x="86"/>
        <item m="1" x="218"/>
        <item x="64"/>
        <item m="1" x="287"/>
        <item m="1" x="187"/>
        <item x="60"/>
        <item x="28"/>
        <item m="1" x="283"/>
        <item m="1" x="297"/>
        <item m="1" x="186"/>
        <item m="1" x="97"/>
        <item m="1" x="119"/>
        <item x="19"/>
        <item m="1" x="229"/>
        <item x="9"/>
        <item m="1" x="127"/>
        <item m="1" x="134"/>
        <item x="34"/>
        <item m="1" x="214"/>
        <item x="29"/>
        <item m="1" x="144"/>
        <item x="15"/>
        <item x="17"/>
        <item m="1" x="265"/>
        <item x="36"/>
        <item x="33"/>
        <item x="54"/>
        <item x="35"/>
        <item m="1" x="191"/>
        <item x="32"/>
        <item x="74"/>
        <item m="1" x="139"/>
        <item x="12"/>
        <item m="1" x="88"/>
        <item m="1" x="135"/>
        <item m="1" x="157"/>
        <item m="1" x="239"/>
        <item m="1" x="304"/>
        <item m="1" x="149"/>
        <item m="1" x="202"/>
        <item m="1" x="133"/>
        <item m="1" x="153"/>
        <item x="24"/>
        <item m="1" x="114"/>
        <item m="1" x="247"/>
        <item x="73"/>
        <item x="13"/>
        <item x="50"/>
        <item x="78"/>
        <item x="21"/>
        <item m="1" x="320"/>
        <item m="1" x="181"/>
        <item m="1" x="256"/>
        <item m="1" x="221"/>
        <item x="45"/>
        <item m="1" x="146"/>
        <item x="5"/>
        <item m="1" x="107"/>
        <item x="46"/>
        <item m="1" x="252"/>
        <item x="2"/>
        <item x="79"/>
        <item m="1" x="158"/>
        <item x="59"/>
        <item m="1" x="259"/>
        <item x="3"/>
        <item m="1" x="160"/>
        <item x="63"/>
        <item m="1" x="274"/>
        <item m="1" x="223"/>
        <item m="1" x="276"/>
        <item x="58"/>
        <item m="1" x="245"/>
        <item m="1" x="124"/>
        <item m="1" x="155"/>
        <item m="1" x="87"/>
        <item m="1" x="128"/>
        <item m="1" x="279"/>
        <item m="1" x="322"/>
        <item x="38"/>
        <item m="1" x="260"/>
        <item m="1" x="173"/>
        <item m="1" x="227"/>
        <item x="56"/>
        <item m="1" x="148"/>
        <item x="77"/>
        <item m="1" x="305"/>
        <item m="1" x="195"/>
        <item t="default"/>
      </items>
    </pivotField>
    <pivotField axis="axisRow" showAll="0">
      <items count="8">
        <item x="0"/>
        <item x="2"/>
        <item x="1"/>
        <item x="3"/>
        <item m="1" x="6"/>
        <item x="4"/>
        <item x="5"/>
        <item t="default"/>
      </items>
    </pivotField>
    <pivotField axis="axisCol" numFmtId="14" showAll="0">
      <items count="1187"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6"/>
        <item m="1" x="445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3"/>
        <item m="1" x="544"/>
        <item m="1" x="542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7"/>
        <item m="1" x="586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1185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1184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1183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5"/>
        <item m="1" x="874"/>
        <item m="1" x="876"/>
        <item m="1" x="877"/>
        <item m="1" x="878"/>
        <item m="1" x="879"/>
        <item m="1" x="11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1180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1181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1176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1177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1178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20"/>
        <item m="1" x="1022"/>
        <item m="1" x="1021"/>
        <item m="1" x="1023"/>
        <item m="1" x="1024"/>
        <item m="1" x="1025"/>
        <item m="1" x="1019"/>
        <item m="1" x="117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x="0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x="1"/>
        <item m="1" x="1078"/>
        <item m="1" x="1079"/>
        <item m="1" x="1174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x="2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82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x="3"/>
        <item m="1" x="1127"/>
        <item m="1" x="1128"/>
        <item x="18"/>
        <item m="1" x="1129"/>
        <item m="1" x="1130"/>
        <item m="1" x="1131"/>
        <item m="1" x="1132"/>
        <item m="1" x="1133"/>
        <item m="1" x="1134"/>
        <item m="1" x="1135"/>
        <item m="1" x="1136"/>
        <item m="1" x="1173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x="4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x="5"/>
        <item x="6"/>
        <item x="7"/>
        <item x="8"/>
        <item x="9"/>
        <item x="10"/>
        <item x="11"/>
        <item x="12"/>
        <item x="13"/>
        <item x="14"/>
        <item x="15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16"/>
        <item m="1" x="1171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1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5"/>
        <item x="74"/>
        <item x="76"/>
        <item x="77"/>
        <item x="78"/>
        <item x="79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102"/>
        <item x="103"/>
        <item x="80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9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99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m="1" x="427"/>
        <item x="174"/>
        <item x="100"/>
        <item x="175"/>
        <item x="176"/>
        <item x="177"/>
        <item x="178"/>
        <item x="179"/>
        <item x="180"/>
        <item x="181"/>
        <item x="182"/>
        <item x="184"/>
        <item x="183"/>
        <item m="1" x="428"/>
        <item x="185"/>
        <item x="186"/>
        <item x="187"/>
        <item x="188"/>
        <item x="189"/>
        <item x="190"/>
        <item x="191"/>
        <item x="192"/>
        <item x="193"/>
        <item x="194"/>
        <item x="101"/>
        <item x="195"/>
        <item x="196"/>
        <item x="198"/>
        <item x="197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2"/>
        <item x="211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8"/>
        <item x="237"/>
        <item x="239"/>
        <item x="240"/>
        <item x="241"/>
        <item x="242"/>
        <item x="243"/>
        <item x="244"/>
        <item x="245"/>
        <item x="246"/>
        <item x="247"/>
        <item m="1" x="424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m="1" x="426"/>
        <item x="260"/>
        <item x="259"/>
        <item x="261"/>
        <item x="262"/>
        <item x="263"/>
        <item x="265"/>
        <item x="264"/>
        <item x="266"/>
        <item m="1" x="423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m="1" x="1172"/>
        <item x="284"/>
        <item x="285"/>
        <item x="286"/>
        <item m="1" x="425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6"/>
        <item x="365"/>
        <item x="367"/>
        <item x="368"/>
        <item x="369"/>
        <item x="370"/>
        <item x="371"/>
        <item x="372"/>
        <item x="373"/>
        <item x="374"/>
        <item x="375"/>
        <item x="376"/>
        <item x="378"/>
        <item x="377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8"/>
        <item x="415"/>
        <item x="419"/>
        <item x="416"/>
        <item x="417"/>
        <item x="420"/>
        <item x="421"/>
        <item x="422"/>
        <item t="default"/>
      </items>
    </pivotField>
    <pivotField numFmtId="1" showAll="0"/>
    <pivotField showAll="0"/>
    <pivotField showAll="0"/>
    <pivotField numFmtId="43" showAll="0"/>
    <pivotField showAll="0"/>
    <pivotField showAll="0"/>
    <pivotField showAll="0">
      <items count="158">
        <item x="16"/>
        <item x="54"/>
        <item x="29"/>
        <item m="1" x="97"/>
        <item x="14"/>
        <item x="21"/>
        <item m="1" x="74"/>
        <item m="1" x="123"/>
        <item m="1" x="133"/>
        <item x="34"/>
        <item m="1" x="89"/>
        <item m="1" x="136"/>
        <item x="2"/>
        <item x="36"/>
        <item m="1" x="137"/>
        <item m="1" x="135"/>
        <item x="71"/>
        <item x="33"/>
        <item m="1" x="110"/>
        <item x="68"/>
        <item m="1" x="77"/>
        <item m="1" x="105"/>
        <item x="50"/>
        <item x="10"/>
        <item m="1" x="120"/>
        <item x="66"/>
        <item m="1" x="129"/>
        <item x="63"/>
        <item x="28"/>
        <item x="72"/>
        <item m="1" x="90"/>
        <item x="8"/>
        <item x="15"/>
        <item m="1" x="128"/>
        <item x="45"/>
        <item x="9"/>
        <item x="57"/>
        <item m="1" x="102"/>
        <item m="1" x="150"/>
        <item x="20"/>
        <item m="1" x="111"/>
        <item x="5"/>
        <item m="1" x="92"/>
        <item m="1" x="125"/>
        <item x="43"/>
        <item m="1" x="122"/>
        <item x="18"/>
        <item m="1" x="154"/>
        <item m="1" x="116"/>
        <item x="38"/>
        <item x="1"/>
        <item x="41"/>
        <item x="0"/>
        <item m="1" x="88"/>
        <item m="1" x="106"/>
        <item m="1" x="99"/>
        <item m="1" x="82"/>
        <item m="1" x="95"/>
        <item x="7"/>
        <item m="1" x="127"/>
        <item x="19"/>
        <item m="1" x="143"/>
        <item m="1" x="91"/>
        <item m="1" x="131"/>
        <item m="1" x="130"/>
        <item m="1" x="112"/>
        <item x="59"/>
        <item m="1" x="144"/>
        <item m="1" x="83"/>
        <item x="65"/>
        <item m="1" x="126"/>
        <item m="1" x="132"/>
        <item m="1" x="155"/>
        <item m="1" x="119"/>
        <item m="1" x="148"/>
        <item x="23"/>
        <item m="1" x="152"/>
        <item x="61"/>
        <item x="55"/>
        <item m="1" x="140"/>
        <item m="1" x="80"/>
        <item x="49"/>
        <item m="1" x="117"/>
        <item x="4"/>
        <item x="42"/>
        <item m="1" x="121"/>
        <item x="24"/>
        <item x="51"/>
        <item x="64"/>
        <item x="62"/>
        <item m="1" x="104"/>
        <item m="1" x="84"/>
        <item m="1" x="81"/>
        <item m="1" x="156"/>
        <item x="12"/>
        <item m="1" x="107"/>
        <item m="1" x="73"/>
        <item x="35"/>
        <item x="53"/>
        <item m="1" x="78"/>
        <item m="1" x="93"/>
        <item x="58"/>
        <item x="70"/>
        <item m="1" x="113"/>
        <item m="1" x="109"/>
        <item m="1" x="108"/>
        <item x="32"/>
        <item m="1" x="118"/>
        <item m="1" x="139"/>
        <item x="31"/>
        <item m="1" x="138"/>
        <item x="17"/>
        <item x="27"/>
        <item x="69"/>
        <item x="26"/>
        <item x="25"/>
        <item m="1" x="149"/>
        <item m="1" x="100"/>
        <item m="1" x="141"/>
        <item m="1" x="86"/>
        <item x="67"/>
        <item m="1" x="146"/>
        <item m="1" x="151"/>
        <item m="1" x="115"/>
        <item x="60"/>
        <item x="56"/>
        <item m="1" x="101"/>
        <item m="1" x="98"/>
        <item m="1" x="96"/>
        <item x="6"/>
        <item x="40"/>
        <item m="1" x="75"/>
        <item x="11"/>
        <item m="1" x="79"/>
        <item m="1" x="145"/>
        <item x="44"/>
        <item m="1" x="134"/>
        <item x="3"/>
        <item m="1" x="124"/>
        <item x="37"/>
        <item x="47"/>
        <item x="30"/>
        <item m="1" x="142"/>
        <item x="13"/>
        <item m="1" x="94"/>
        <item m="1" x="76"/>
        <item x="48"/>
        <item x="46"/>
        <item x="52"/>
        <item m="1" x="103"/>
        <item m="1" x="153"/>
        <item m="1" x="85"/>
        <item x="39"/>
        <item m="1" x="87"/>
        <item m="1" x="147"/>
        <item x="22"/>
        <item m="1" x="114"/>
        <item t="default"/>
      </items>
    </pivotField>
    <pivotField showAll="0">
      <items count="9">
        <item h="1" x="0"/>
        <item h="1" m="1" x="6"/>
        <item h="1" m="1" x="4"/>
        <item x="1"/>
        <item h="1" m="1" x="5"/>
        <item h="1" m="1" x="3"/>
        <item h="1" m="1" x="7"/>
        <item h="1" x="2"/>
        <item t="default"/>
      </items>
    </pivotField>
    <pivotField showAll="0"/>
    <pivotField dataField="1" numFmtId="43" showAll="0"/>
    <pivotField axis="axisCol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6"/>
    </i>
    <i t="grand">
      <x/>
    </i>
  </rowItems>
  <colFields count="2">
    <field x="15"/>
    <field x="4"/>
  </colFields>
  <colItems count="53">
    <i>
      <x v="3"/>
      <x v="1102"/>
    </i>
    <i r="1">
      <x v="1103"/>
    </i>
    <i r="1">
      <x v="1104"/>
    </i>
    <i r="1">
      <x v="1105"/>
    </i>
    <i r="1">
      <x v="1106"/>
    </i>
    <i r="1">
      <x v="1107"/>
    </i>
    <i r="1">
      <x v="1108"/>
    </i>
    <i r="1">
      <x v="1109"/>
    </i>
    <i r="1">
      <x v="1110"/>
    </i>
    <i r="1">
      <x v="1111"/>
    </i>
    <i r="1">
      <x v="1112"/>
    </i>
    <i r="1">
      <x v="1113"/>
    </i>
    <i r="1">
      <x v="1114"/>
    </i>
    <i r="1">
      <x v="1115"/>
    </i>
    <i r="1">
      <x v="1116"/>
    </i>
    <i r="1">
      <x v="1117"/>
    </i>
    <i r="1">
      <x v="1118"/>
    </i>
    <i t="default">
      <x v="3"/>
    </i>
    <i>
      <x v="4"/>
      <x v="1119"/>
    </i>
    <i r="1">
      <x v="1120"/>
    </i>
    <i r="1">
      <x v="1121"/>
    </i>
    <i r="1">
      <x v="1122"/>
    </i>
    <i r="1">
      <x v="1123"/>
    </i>
    <i r="1">
      <x v="1124"/>
    </i>
    <i r="1">
      <x v="1125"/>
    </i>
    <i r="1">
      <x v="1126"/>
    </i>
    <i r="1">
      <x v="1127"/>
    </i>
    <i r="1">
      <x v="1128"/>
    </i>
    <i r="1">
      <x v="1129"/>
    </i>
    <i r="1">
      <x v="1130"/>
    </i>
    <i r="1">
      <x v="1131"/>
    </i>
    <i t="default">
      <x v="4"/>
    </i>
    <i>
      <x v="5"/>
      <x v="1132"/>
    </i>
    <i r="1">
      <x v="1133"/>
    </i>
    <i r="1">
      <x v="1134"/>
    </i>
    <i r="1">
      <x v="1135"/>
    </i>
    <i r="1">
      <x v="1136"/>
    </i>
    <i r="1">
      <x v="1137"/>
    </i>
    <i r="1">
      <x v="1138"/>
    </i>
    <i r="1">
      <x v="1139"/>
    </i>
    <i r="1">
      <x v="1140"/>
    </i>
    <i r="1">
      <x v="1141"/>
    </i>
    <i r="1">
      <x v="1142"/>
    </i>
    <i r="1">
      <x v="1143"/>
    </i>
    <i t="default">
      <x v="5"/>
    </i>
    <i>
      <x v="6"/>
      <x v="1144"/>
    </i>
    <i r="1">
      <x v="1145"/>
    </i>
    <i r="1">
      <x v="1146"/>
    </i>
    <i r="1">
      <x v="1147"/>
    </i>
    <i r="1">
      <x v="1148"/>
    </i>
    <i r="1">
      <x v="1149"/>
    </i>
    <i t="default">
      <x v="6"/>
    </i>
    <i t="grand">
      <x/>
    </i>
  </colItems>
  <dataFields count="1">
    <dataField name="Suma de DOLARES" fld="14" baseField="0" baseItem="0" numFmtId="43"/>
  </dataFields>
  <formats count="1">
    <format dxfId="10">
      <pivotArea outline="0" collapsedLevelsAreSubtotals="1" fieldPosition="0"/>
    </format>
  </formats>
  <chartFormats count="662">
    <chartFormat chart="3" format="3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106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19"/>
          </reference>
          <reference field="15" count="1" selected="0">
            <x v="4"/>
          </reference>
        </references>
      </pivotArea>
    </chartFormat>
    <chartFormat chart="3" format="11107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20"/>
          </reference>
          <reference field="15" count="1" selected="0">
            <x v="4"/>
          </reference>
        </references>
      </pivotArea>
    </chartFormat>
    <chartFormat chart="3" format="11108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21"/>
          </reference>
          <reference field="15" count="1" selected="0">
            <x v="4"/>
          </reference>
        </references>
      </pivotArea>
    </chartFormat>
    <chartFormat chart="3" format="11109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22"/>
          </reference>
          <reference field="15" count="1" selected="0">
            <x v="4"/>
          </reference>
        </references>
      </pivotArea>
    </chartFormat>
    <chartFormat chart="3" format="11110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23"/>
          </reference>
          <reference field="15" count="1" selected="0">
            <x v="4"/>
          </reference>
        </references>
      </pivotArea>
    </chartFormat>
    <chartFormat chart="3" format="11111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24"/>
          </reference>
          <reference field="15" count="1" selected="0">
            <x v="4"/>
          </reference>
        </references>
      </pivotArea>
    </chartFormat>
    <chartFormat chart="3" format="11112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25"/>
          </reference>
          <reference field="15" count="1" selected="0">
            <x v="4"/>
          </reference>
        </references>
      </pivotArea>
    </chartFormat>
    <chartFormat chart="3" format="11113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26"/>
          </reference>
          <reference field="15" count="1" selected="0">
            <x v="4"/>
          </reference>
        </references>
      </pivotArea>
    </chartFormat>
    <chartFormat chart="3" format="11114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27"/>
          </reference>
          <reference field="15" count="1" selected="0">
            <x v="4"/>
          </reference>
        </references>
      </pivotArea>
    </chartFormat>
    <chartFormat chart="3" format="11115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28"/>
          </reference>
          <reference field="15" count="1" selected="0">
            <x v="4"/>
          </reference>
        </references>
      </pivotArea>
    </chartFormat>
    <chartFormat chart="3" format="11116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29"/>
          </reference>
          <reference field="15" count="1" selected="0">
            <x v="4"/>
          </reference>
        </references>
      </pivotArea>
    </chartFormat>
    <chartFormat chart="3" format="11117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30"/>
          </reference>
          <reference field="15" count="1" selected="0">
            <x v="4"/>
          </reference>
        </references>
      </pivotArea>
    </chartFormat>
    <chartFormat chart="3" format="11118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31"/>
          </reference>
          <reference field="15" count="1" selected="0">
            <x v="4"/>
          </reference>
        </references>
      </pivotArea>
    </chartFormat>
    <chartFormat chart="3" format="11119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32"/>
          </reference>
          <reference field="15" count="1" selected="0">
            <x v="5"/>
          </reference>
        </references>
      </pivotArea>
    </chartFormat>
    <chartFormat chart="3" format="11120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33"/>
          </reference>
          <reference field="15" count="1" selected="0">
            <x v="5"/>
          </reference>
        </references>
      </pivotArea>
    </chartFormat>
    <chartFormat chart="3" format="11121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34"/>
          </reference>
          <reference field="15" count="1" selected="0">
            <x v="5"/>
          </reference>
        </references>
      </pivotArea>
    </chartFormat>
    <chartFormat chart="3" format="11122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35"/>
          </reference>
          <reference field="15" count="1" selected="0">
            <x v="5"/>
          </reference>
        </references>
      </pivotArea>
    </chartFormat>
    <chartFormat chart="3" format="11123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36"/>
          </reference>
          <reference field="15" count="1" selected="0">
            <x v="5"/>
          </reference>
        </references>
      </pivotArea>
    </chartFormat>
    <chartFormat chart="3" format="11124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37"/>
          </reference>
          <reference field="15" count="1" selected="0">
            <x v="5"/>
          </reference>
        </references>
      </pivotArea>
    </chartFormat>
    <chartFormat chart="3" format="11125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38"/>
          </reference>
          <reference field="15" count="1" selected="0">
            <x v="5"/>
          </reference>
        </references>
      </pivotArea>
    </chartFormat>
    <chartFormat chart="3" format="11126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39"/>
          </reference>
          <reference field="15" count="1" selected="0">
            <x v="5"/>
          </reference>
        </references>
      </pivotArea>
    </chartFormat>
    <chartFormat chart="3" format="11127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40"/>
          </reference>
          <reference field="15" count="1" selected="0">
            <x v="5"/>
          </reference>
        </references>
      </pivotArea>
    </chartFormat>
    <chartFormat chart="3" format="11128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41"/>
          </reference>
          <reference field="15" count="1" selected="0">
            <x v="5"/>
          </reference>
        </references>
      </pivotArea>
    </chartFormat>
    <chartFormat chart="3" format="11129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42"/>
          </reference>
          <reference field="15" count="1" selected="0">
            <x v="5"/>
          </reference>
        </references>
      </pivotArea>
    </chartFormat>
    <chartFormat chart="3" format="11130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43"/>
          </reference>
          <reference field="15" count="1" selected="0">
            <x v="5"/>
          </reference>
        </references>
      </pivotArea>
    </chartFormat>
    <chartFormat chart="5" format="10285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19"/>
          </reference>
          <reference field="15" count="1" selected="0">
            <x v="4"/>
          </reference>
        </references>
      </pivotArea>
    </chartFormat>
    <chartFormat chart="5" format="10286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20"/>
          </reference>
          <reference field="15" count="1" selected="0">
            <x v="4"/>
          </reference>
        </references>
      </pivotArea>
    </chartFormat>
    <chartFormat chart="5" format="10287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21"/>
          </reference>
          <reference field="15" count="1" selected="0">
            <x v="4"/>
          </reference>
        </references>
      </pivotArea>
    </chartFormat>
    <chartFormat chart="5" format="10288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22"/>
          </reference>
          <reference field="15" count="1" selected="0">
            <x v="4"/>
          </reference>
        </references>
      </pivotArea>
    </chartFormat>
    <chartFormat chart="5" format="10289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23"/>
          </reference>
          <reference field="15" count="1" selected="0">
            <x v="4"/>
          </reference>
        </references>
      </pivotArea>
    </chartFormat>
    <chartFormat chart="5" format="10290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24"/>
          </reference>
          <reference field="15" count="1" selected="0">
            <x v="4"/>
          </reference>
        </references>
      </pivotArea>
    </chartFormat>
    <chartFormat chart="5" format="10291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25"/>
          </reference>
          <reference field="15" count="1" selected="0">
            <x v="4"/>
          </reference>
        </references>
      </pivotArea>
    </chartFormat>
    <chartFormat chart="5" format="10292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26"/>
          </reference>
          <reference field="15" count="1" selected="0">
            <x v="4"/>
          </reference>
        </references>
      </pivotArea>
    </chartFormat>
    <chartFormat chart="5" format="10293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27"/>
          </reference>
          <reference field="15" count="1" selected="0">
            <x v="4"/>
          </reference>
        </references>
      </pivotArea>
    </chartFormat>
    <chartFormat chart="5" format="10294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28"/>
          </reference>
          <reference field="15" count="1" selected="0">
            <x v="4"/>
          </reference>
        </references>
      </pivotArea>
    </chartFormat>
    <chartFormat chart="5" format="10295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29"/>
          </reference>
          <reference field="15" count="1" selected="0">
            <x v="4"/>
          </reference>
        </references>
      </pivotArea>
    </chartFormat>
    <chartFormat chart="5" format="10296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30"/>
          </reference>
          <reference field="15" count="1" selected="0">
            <x v="4"/>
          </reference>
        </references>
      </pivotArea>
    </chartFormat>
    <chartFormat chart="5" format="10297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31"/>
          </reference>
          <reference field="15" count="1" selected="0">
            <x v="4"/>
          </reference>
        </references>
      </pivotArea>
    </chartFormat>
    <chartFormat chart="5" format="10298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32"/>
          </reference>
          <reference field="15" count="1" selected="0">
            <x v="5"/>
          </reference>
        </references>
      </pivotArea>
    </chartFormat>
    <chartFormat chart="5" format="10299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33"/>
          </reference>
          <reference field="15" count="1" selected="0">
            <x v="5"/>
          </reference>
        </references>
      </pivotArea>
    </chartFormat>
    <chartFormat chart="5" format="10300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34"/>
          </reference>
          <reference field="15" count="1" selected="0">
            <x v="5"/>
          </reference>
        </references>
      </pivotArea>
    </chartFormat>
    <chartFormat chart="5" format="10301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35"/>
          </reference>
          <reference field="15" count="1" selected="0">
            <x v="5"/>
          </reference>
        </references>
      </pivotArea>
    </chartFormat>
    <chartFormat chart="5" format="10302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36"/>
          </reference>
          <reference field="15" count="1" selected="0">
            <x v="5"/>
          </reference>
        </references>
      </pivotArea>
    </chartFormat>
    <chartFormat chart="5" format="10303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37"/>
          </reference>
          <reference field="15" count="1" selected="0">
            <x v="5"/>
          </reference>
        </references>
      </pivotArea>
    </chartFormat>
    <chartFormat chart="5" format="10304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38"/>
          </reference>
          <reference field="15" count="1" selected="0">
            <x v="5"/>
          </reference>
        </references>
      </pivotArea>
    </chartFormat>
    <chartFormat chart="5" format="10305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39"/>
          </reference>
          <reference field="15" count="1" selected="0">
            <x v="5"/>
          </reference>
        </references>
      </pivotArea>
    </chartFormat>
    <chartFormat chart="5" format="10306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40"/>
          </reference>
          <reference field="15" count="1" selected="0">
            <x v="5"/>
          </reference>
        </references>
      </pivotArea>
    </chartFormat>
    <chartFormat chart="5" format="10307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41"/>
          </reference>
          <reference field="15" count="1" selected="0">
            <x v="5"/>
          </reference>
        </references>
      </pivotArea>
    </chartFormat>
    <chartFormat chart="5" format="10308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42"/>
          </reference>
          <reference field="15" count="1" selected="0">
            <x v="5"/>
          </reference>
        </references>
      </pivotArea>
    </chartFormat>
    <chartFormat chart="5" format="10309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43"/>
          </reference>
          <reference field="15" count="1" selected="0">
            <x v="5"/>
          </reference>
        </references>
      </pivotArea>
    </chartFormat>
    <chartFormat chart="5" format="10310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086"/>
          </reference>
          <reference field="15" count="1" selected="0">
            <x v="2"/>
          </reference>
        </references>
      </pivotArea>
    </chartFormat>
    <chartFormat chart="5" format="10311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086"/>
          </reference>
          <reference field="15" count="1" selected="0">
            <x v="2"/>
          </reference>
        </references>
      </pivotArea>
    </chartFormat>
    <chartFormat chart="5" format="10312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086"/>
          </reference>
          <reference field="15" count="1" selected="0">
            <x v="2"/>
          </reference>
        </references>
      </pivotArea>
    </chartFormat>
    <chartFormat chart="5" format="10313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086"/>
          </reference>
          <reference field="15" count="1" selected="0">
            <x v="2"/>
          </reference>
        </references>
      </pivotArea>
    </chartFormat>
    <chartFormat chart="5" format="10314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086"/>
          </reference>
          <reference field="15" count="1" selected="0">
            <x v="2"/>
          </reference>
        </references>
      </pivotArea>
    </chartFormat>
    <chartFormat chart="5" format="10315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086"/>
          </reference>
          <reference field="15" count="1" selected="0">
            <x v="2"/>
          </reference>
        </references>
      </pivotArea>
    </chartFormat>
    <chartFormat chart="5" format="10316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090"/>
          </reference>
          <reference field="15" count="1" selected="0">
            <x v="2"/>
          </reference>
        </references>
      </pivotArea>
    </chartFormat>
    <chartFormat chart="5" format="10317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090"/>
          </reference>
          <reference field="15" count="1" selected="0">
            <x v="2"/>
          </reference>
        </references>
      </pivotArea>
    </chartFormat>
    <chartFormat chart="5" format="10318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090"/>
          </reference>
          <reference field="15" count="1" selected="0">
            <x v="2"/>
          </reference>
        </references>
      </pivotArea>
    </chartFormat>
    <chartFormat chart="5" format="10319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090"/>
          </reference>
          <reference field="15" count="1" selected="0">
            <x v="2"/>
          </reference>
        </references>
      </pivotArea>
    </chartFormat>
    <chartFormat chart="5" format="10320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090"/>
          </reference>
          <reference field="15" count="1" selected="0">
            <x v="2"/>
          </reference>
        </references>
      </pivotArea>
    </chartFormat>
    <chartFormat chart="5" format="10321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090"/>
          </reference>
          <reference field="15" count="1" selected="0">
            <x v="2"/>
          </reference>
        </references>
      </pivotArea>
    </chartFormat>
    <chartFormat chart="5" format="10322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096"/>
          </reference>
          <reference field="15" count="1" selected="0">
            <x v="2"/>
          </reference>
        </references>
      </pivotArea>
    </chartFormat>
    <chartFormat chart="5" format="10323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096"/>
          </reference>
          <reference field="15" count="1" selected="0">
            <x v="2"/>
          </reference>
        </references>
      </pivotArea>
    </chartFormat>
    <chartFormat chart="5" format="10324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096"/>
          </reference>
          <reference field="15" count="1" selected="0">
            <x v="2"/>
          </reference>
        </references>
      </pivotArea>
    </chartFormat>
    <chartFormat chart="5" format="10325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096"/>
          </reference>
          <reference field="15" count="1" selected="0">
            <x v="2"/>
          </reference>
        </references>
      </pivotArea>
    </chartFormat>
    <chartFormat chart="5" format="10326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096"/>
          </reference>
          <reference field="15" count="1" selected="0">
            <x v="2"/>
          </reference>
        </references>
      </pivotArea>
    </chartFormat>
    <chartFormat chart="5" format="10327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096"/>
          </reference>
          <reference field="15" count="1" selected="0">
            <x v="2"/>
          </reference>
        </references>
      </pivotArea>
    </chartFormat>
    <chartFormat chart="5" format="10328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098"/>
          </reference>
          <reference field="15" count="1" selected="0">
            <x v="2"/>
          </reference>
        </references>
      </pivotArea>
    </chartFormat>
    <chartFormat chart="5" format="10329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098"/>
          </reference>
          <reference field="15" count="1" selected="0">
            <x v="2"/>
          </reference>
        </references>
      </pivotArea>
    </chartFormat>
    <chartFormat chart="5" format="10330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098"/>
          </reference>
          <reference field="15" count="1" selected="0">
            <x v="2"/>
          </reference>
        </references>
      </pivotArea>
    </chartFormat>
    <chartFormat chart="5" format="10331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098"/>
          </reference>
          <reference field="15" count="1" selected="0">
            <x v="2"/>
          </reference>
        </references>
      </pivotArea>
    </chartFormat>
    <chartFormat chart="5" format="10332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098"/>
          </reference>
          <reference field="15" count="1" selected="0">
            <x v="2"/>
          </reference>
        </references>
      </pivotArea>
    </chartFormat>
    <chartFormat chart="5" format="10333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098"/>
          </reference>
          <reference field="15" count="1" selected="0">
            <x v="2"/>
          </reference>
        </references>
      </pivotArea>
    </chartFormat>
    <chartFormat chart="5" format="10334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099"/>
          </reference>
          <reference field="15" count="1" selected="0">
            <x v="2"/>
          </reference>
        </references>
      </pivotArea>
    </chartFormat>
    <chartFormat chart="5" format="10335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099"/>
          </reference>
          <reference field="15" count="1" selected="0">
            <x v="2"/>
          </reference>
        </references>
      </pivotArea>
    </chartFormat>
    <chartFormat chart="5" format="10336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099"/>
          </reference>
          <reference field="15" count="1" selected="0">
            <x v="2"/>
          </reference>
        </references>
      </pivotArea>
    </chartFormat>
    <chartFormat chart="5" format="10337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099"/>
          </reference>
          <reference field="15" count="1" selected="0">
            <x v="2"/>
          </reference>
        </references>
      </pivotArea>
    </chartFormat>
    <chartFormat chart="5" format="10338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099"/>
          </reference>
          <reference field="15" count="1" selected="0">
            <x v="2"/>
          </reference>
        </references>
      </pivotArea>
    </chartFormat>
    <chartFormat chart="5" format="10339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099"/>
          </reference>
          <reference field="15" count="1" selected="0">
            <x v="2"/>
          </reference>
        </references>
      </pivotArea>
    </chartFormat>
    <chartFormat chart="5" format="10340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00"/>
          </reference>
          <reference field="15" count="1" selected="0">
            <x v="2"/>
          </reference>
        </references>
      </pivotArea>
    </chartFormat>
    <chartFormat chart="5" format="10341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00"/>
          </reference>
          <reference field="15" count="1" selected="0">
            <x v="2"/>
          </reference>
        </references>
      </pivotArea>
    </chartFormat>
    <chartFormat chart="5" format="10342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00"/>
          </reference>
          <reference field="15" count="1" selected="0">
            <x v="2"/>
          </reference>
        </references>
      </pivotArea>
    </chartFormat>
    <chartFormat chart="5" format="10343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00"/>
          </reference>
          <reference field="15" count="1" selected="0">
            <x v="2"/>
          </reference>
        </references>
      </pivotArea>
    </chartFormat>
    <chartFormat chart="5" format="10344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00"/>
          </reference>
          <reference field="15" count="1" selected="0">
            <x v="2"/>
          </reference>
        </references>
      </pivotArea>
    </chartFormat>
    <chartFormat chart="5" format="10345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00"/>
          </reference>
          <reference field="15" count="1" selected="0">
            <x v="2"/>
          </reference>
        </references>
      </pivotArea>
    </chartFormat>
    <chartFormat chart="5" format="10346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01"/>
          </reference>
          <reference field="15" count="1" selected="0">
            <x v="2"/>
          </reference>
        </references>
      </pivotArea>
    </chartFormat>
    <chartFormat chart="5" format="10347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01"/>
          </reference>
          <reference field="15" count="1" selected="0">
            <x v="2"/>
          </reference>
        </references>
      </pivotArea>
    </chartFormat>
    <chartFormat chart="5" format="10348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01"/>
          </reference>
          <reference field="15" count="1" selected="0">
            <x v="2"/>
          </reference>
        </references>
      </pivotArea>
    </chartFormat>
    <chartFormat chart="5" format="10349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01"/>
          </reference>
          <reference field="15" count="1" selected="0">
            <x v="2"/>
          </reference>
        </references>
      </pivotArea>
    </chartFormat>
    <chartFormat chart="5" format="10350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01"/>
          </reference>
          <reference field="15" count="1" selected="0">
            <x v="2"/>
          </reference>
        </references>
      </pivotArea>
    </chartFormat>
    <chartFormat chart="5" format="10351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01"/>
          </reference>
          <reference field="15" count="1" selected="0">
            <x v="2"/>
          </reference>
        </references>
      </pivotArea>
    </chartFormat>
    <chartFormat chart="5" format="10352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02"/>
          </reference>
          <reference field="15" count="1" selected="0">
            <x v="3"/>
          </reference>
        </references>
      </pivotArea>
    </chartFormat>
    <chartFormat chart="5" format="10353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02"/>
          </reference>
          <reference field="15" count="1" selected="0">
            <x v="3"/>
          </reference>
        </references>
      </pivotArea>
    </chartFormat>
    <chartFormat chart="5" format="10354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02"/>
          </reference>
          <reference field="15" count="1" selected="0">
            <x v="3"/>
          </reference>
        </references>
      </pivotArea>
    </chartFormat>
    <chartFormat chart="5" format="10355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02"/>
          </reference>
          <reference field="15" count="1" selected="0">
            <x v="3"/>
          </reference>
        </references>
      </pivotArea>
    </chartFormat>
    <chartFormat chart="5" format="10356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02"/>
          </reference>
          <reference field="15" count="1" selected="0">
            <x v="3"/>
          </reference>
        </references>
      </pivotArea>
    </chartFormat>
    <chartFormat chart="5" format="10357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02"/>
          </reference>
          <reference field="15" count="1" selected="0">
            <x v="3"/>
          </reference>
        </references>
      </pivotArea>
    </chartFormat>
    <chartFormat chart="5" format="10358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03"/>
          </reference>
          <reference field="15" count="1" selected="0">
            <x v="3"/>
          </reference>
        </references>
      </pivotArea>
    </chartFormat>
    <chartFormat chart="5" format="10359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03"/>
          </reference>
          <reference field="15" count="1" selected="0">
            <x v="3"/>
          </reference>
        </references>
      </pivotArea>
    </chartFormat>
    <chartFormat chart="5" format="10360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03"/>
          </reference>
          <reference field="15" count="1" selected="0">
            <x v="3"/>
          </reference>
        </references>
      </pivotArea>
    </chartFormat>
    <chartFormat chart="5" format="10361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03"/>
          </reference>
          <reference field="15" count="1" selected="0">
            <x v="3"/>
          </reference>
        </references>
      </pivotArea>
    </chartFormat>
    <chartFormat chart="5" format="10362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03"/>
          </reference>
          <reference field="15" count="1" selected="0">
            <x v="3"/>
          </reference>
        </references>
      </pivotArea>
    </chartFormat>
    <chartFormat chart="5" format="10363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03"/>
          </reference>
          <reference field="15" count="1" selected="0">
            <x v="3"/>
          </reference>
        </references>
      </pivotArea>
    </chartFormat>
    <chartFormat chart="5" format="10364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04"/>
          </reference>
          <reference field="15" count="1" selected="0">
            <x v="3"/>
          </reference>
        </references>
      </pivotArea>
    </chartFormat>
    <chartFormat chart="5" format="10365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04"/>
          </reference>
          <reference field="15" count="1" selected="0">
            <x v="3"/>
          </reference>
        </references>
      </pivotArea>
    </chartFormat>
    <chartFormat chart="5" format="10366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04"/>
          </reference>
          <reference field="15" count="1" selected="0">
            <x v="3"/>
          </reference>
        </references>
      </pivotArea>
    </chartFormat>
    <chartFormat chart="5" format="10367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04"/>
          </reference>
          <reference field="15" count="1" selected="0">
            <x v="3"/>
          </reference>
        </references>
      </pivotArea>
    </chartFormat>
    <chartFormat chart="5" format="10368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04"/>
          </reference>
          <reference field="15" count="1" selected="0">
            <x v="3"/>
          </reference>
        </references>
      </pivotArea>
    </chartFormat>
    <chartFormat chart="5" format="10369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04"/>
          </reference>
          <reference field="15" count="1" selected="0">
            <x v="3"/>
          </reference>
        </references>
      </pivotArea>
    </chartFormat>
    <chartFormat chart="5" format="10370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05"/>
          </reference>
          <reference field="15" count="1" selected="0">
            <x v="3"/>
          </reference>
        </references>
      </pivotArea>
    </chartFormat>
    <chartFormat chart="5" format="10371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05"/>
          </reference>
          <reference field="15" count="1" selected="0">
            <x v="3"/>
          </reference>
        </references>
      </pivotArea>
    </chartFormat>
    <chartFormat chart="5" format="10372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05"/>
          </reference>
          <reference field="15" count="1" selected="0">
            <x v="3"/>
          </reference>
        </references>
      </pivotArea>
    </chartFormat>
    <chartFormat chart="5" format="10373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05"/>
          </reference>
          <reference field="15" count="1" selected="0">
            <x v="3"/>
          </reference>
        </references>
      </pivotArea>
    </chartFormat>
    <chartFormat chart="5" format="10374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05"/>
          </reference>
          <reference field="15" count="1" selected="0">
            <x v="3"/>
          </reference>
        </references>
      </pivotArea>
    </chartFormat>
    <chartFormat chart="5" format="10375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05"/>
          </reference>
          <reference field="15" count="1" selected="0">
            <x v="3"/>
          </reference>
        </references>
      </pivotArea>
    </chartFormat>
    <chartFormat chart="5" format="10376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06"/>
          </reference>
          <reference field="15" count="1" selected="0">
            <x v="3"/>
          </reference>
        </references>
      </pivotArea>
    </chartFormat>
    <chartFormat chart="5" format="10377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06"/>
          </reference>
          <reference field="15" count="1" selected="0">
            <x v="3"/>
          </reference>
        </references>
      </pivotArea>
    </chartFormat>
    <chartFormat chart="5" format="10378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06"/>
          </reference>
          <reference field="15" count="1" selected="0">
            <x v="3"/>
          </reference>
        </references>
      </pivotArea>
    </chartFormat>
    <chartFormat chart="5" format="10379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06"/>
          </reference>
          <reference field="15" count="1" selected="0">
            <x v="3"/>
          </reference>
        </references>
      </pivotArea>
    </chartFormat>
    <chartFormat chart="5" format="10380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06"/>
          </reference>
          <reference field="15" count="1" selected="0">
            <x v="3"/>
          </reference>
        </references>
      </pivotArea>
    </chartFormat>
    <chartFormat chart="5" format="10381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06"/>
          </reference>
          <reference field="15" count="1" selected="0">
            <x v="3"/>
          </reference>
        </references>
      </pivotArea>
    </chartFormat>
    <chartFormat chart="5" format="10382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07"/>
          </reference>
          <reference field="15" count="1" selected="0">
            <x v="3"/>
          </reference>
        </references>
      </pivotArea>
    </chartFormat>
    <chartFormat chart="5" format="10383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07"/>
          </reference>
          <reference field="15" count="1" selected="0">
            <x v="3"/>
          </reference>
        </references>
      </pivotArea>
    </chartFormat>
    <chartFormat chart="5" format="10384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07"/>
          </reference>
          <reference field="15" count="1" selected="0">
            <x v="3"/>
          </reference>
        </references>
      </pivotArea>
    </chartFormat>
    <chartFormat chart="5" format="10385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07"/>
          </reference>
          <reference field="15" count="1" selected="0">
            <x v="3"/>
          </reference>
        </references>
      </pivotArea>
    </chartFormat>
    <chartFormat chart="5" format="10386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07"/>
          </reference>
          <reference field="15" count="1" selected="0">
            <x v="3"/>
          </reference>
        </references>
      </pivotArea>
    </chartFormat>
    <chartFormat chart="5" format="10387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07"/>
          </reference>
          <reference field="15" count="1" selected="0">
            <x v="3"/>
          </reference>
        </references>
      </pivotArea>
    </chartFormat>
    <chartFormat chart="5" format="10388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08"/>
          </reference>
          <reference field="15" count="1" selected="0">
            <x v="3"/>
          </reference>
        </references>
      </pivotArea>
    </chartFormat>
    <chartFormat chart="5" format="10389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08"/>
          </reference>
          <reference field="15" count="1" selected="0">
            <x v="3"/>
          </reference>
        </references>
      </pivotArea>
    </chartFormat>
    <chartFormat chart="5" format="10390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08"/>
          </reference>
          <reference field="15" count="1" selected="0">
            <x v="3"/>
          </reference>
        </references>
      </pivotArea>
    </chartFormat>
    <chartFormat chart="5" format="10391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08"/>
          </reference>
          <reference field="15" count="1" selected="0">
            <x v="3"/>
          </reference>
        </references>
      </pivotArea>
    </chartFormat>
    <chartFormat chart="5" format="10392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08"/>
          </reference>
          <reference field="15" count="1" selected="0">
            <x v="3"/>
          </reference>
        </references>
      </pivotArea>
    </chartFormat>
    <chartFormat chart="5" format="10393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08"/>
          </reference>
          <reference field="15" count="1" selected="0">
            <x v="3"/>
          </reference>
        </references>
      </pivotArea>
    </chartFormat>
    <chartFormat chart="5" format="10394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09"/>
          </reference>
          <reference field="15" count="1" selected="0">
            <x v="3"/>
          </reference>
        </references>
      </pivotArea>
    </chartFormat>
    <chartFormat chart="5" format="10395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09"/>
          </reference>
          <reference field="15" count="1" selected="0">
            <x v="3"/>
          </reference>
        </references>
      </pivotArea>
    </chartFormat>
    <chartFormat chart="5" format="10396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09"/>
          </reference>
          <reference field="15" count="1" selected="0">
            <x v="3"/>
          </reference>
        </references>
      </pivotArea>
    </chartFormat>
    <chartFormat chart="5" format="10397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09"/>
          </reference>
          <reference field="15" count="1" selected="0">
            <x v="3"/>
          </reference>
        </references>
      </pivotArea>
    </chartFormat>
    <chartFormat chart="5" format="10398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09"/>
          </reference>
          <reference field="15" count="1" selected="0">
            <x v="3"/>
          </reference>
        </references>
      </pivotArea>
    </chartFormat>
    <chartFormat chart="5" format="10399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09"/>
          </reference>
          <reference field="15" count="1" selected="0">
            <x v="3"/>
          </reference>
        </references>
      </pivotArea>
    </chartFormat>
    <chartFormat chart="5" format="10400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10"/>
          </reference>
          <reference field="15" count="1" selected="0">
            <x v="3"/>
          </reference>
        </references>
      </pivotArea>
    </chartFormat>
    <chartFormat chart="5" format="10401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10"/>
          </reference>
          <reference field="15" count="1" selected="0">
            <x v="3"/>
          </reference>
        </references>
      </pivotArea>
    </chartFormat>
    <chartFormat chart="5" format="10402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10"/>
          </reference>
          <reference field="15" count="1" selected="0">
            <x v="3"/>
          </reference>
        </references>
      </pivotArea>
    </chartFormat>
    <chartFormat chart="5" format="10403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10"/>
          </reference>
          <reference field="15" count="1" selected="0">
            <x v="3"/>
          </reference>
        </references>
      </pivotArea>
    </chartFormat>
    <chartFormat chart="5" format="10404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10"/>
          </reference>
          <reference field="15" count="1" selected="0">
            <x v="3"/>
          </reference>
        </references>
      </pivotArea>
    </chartFormat>
    <chartFormat chart="5" format="10405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10"/>
          </reference>
          <reference field="15" count="1" selected="0">
            <x v="3"/>
          </reference>
        </references>
      </pivotArea>
    </chartFormat>
    <chartFormat chart="5" format="10406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11"/>
          </reference>
          <reference field="15" count="1" selected="0">
            <x v="3"/>
          </reference>
        </references>
      </pivotArea>
    </chartFormat>
    <chartFormat chart="5" format="10407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11"/>
          </reference>
          <reference field="15" count="1" selected="0">
            <x v="3"/>
          </reference>
        </references>
      </pivotArea>
    </chartFormat>
    <chartFormat chart="5" format="10408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11"/>
          </reference>
          <reference field="15" count="1" selected="0">
            <x v="3"/>
          </reference>
        </references>
      </pivotArea>
    </chartFormat>
    <chartFormat chart="5" format="10409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11"/>
          </reference>
          <reference field="15" count="1" selected="0">
            <x v="3"/>
          </reference>
        </references>
      </pivotArea>
    </chartFormat>
    <chartFormat chart="5" format="10410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11"/>
          </reference>
          <reference field="15" count="1" selected="0">
            <x v="3"/>
          </reference>
        </references>
      </pivotArea>
    </chartFormat>
    <chartFormat chart="5" format="10411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11"/>
          </reference>
          <reference field="15" count="1" selected="0">
            <x v="3"/>
          </reference>
        </references>
      </pivotArea>
    </chartFormat>
    <chartFormat chart="5" format="10412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12"/>
          </reference>
          <reference field="15" count="1" selected="0">
            <x v="3"/>
          </reference>
        </references>
      </pivotArea>
    </chartFormat>
    <chartFormat chart="5" format="10413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12"/>
          </reference>
          <reference field="15" count="1" selected="0">
            <x v="3"/>
          </reference>
        </references>
      </pivotArea>
    </chartFormat>
    <chartFormat chart="5" format="10414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12"/>
          </reference>
          <reference field="15" count="1" selected="0">
            <x v="3"/>
          </reference>
        </references>
      </pivotArea>
    </chartFormat>
    <chartFormat chart="5" format="10415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12"/>
          </reference>
          <reference field="15" count="1" selected="0">
            <x v="3"/>
          </reference>
        </references>
      </pivotArea>
    </chartFormat>
    <chartFormat chart="5" format="10416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12"/>
          </reference>
          <reference field="15" count="1" selected="0">
            <x v="3"/>
          </reference>
        </references>
      </pivotArea>
    </chartFormat>
    <chartFormat chart="5" format="10417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12"/>
          </reference>
          <reference field="15" count="1" selected="0">
            <x v="3"/>
          </reference>
        </references>
      </pivotArea>
    </chartFormat>
    <chartFormat chart="5" format="10418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13"/>
          </reference>
          <reference field="15" count="1" selected="0">
            <x v="3"/>
          </reference>
        </references>
      </pivotArea>
    </chartFormat>
    <chartFormat chart="5" format="10419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13"/>
          </reference>
          <reference field="15" count="1" selected="0">
            <x v="3"/>
          </reference>
        </references>
      </pivotArea>
    </chartFormat>
    <chartFormat chart="5" format="10420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13"/>
          </reference>
          <reference field="15" count="1" selected="0">
            <x v="3"/>
          </reference>
        </references>
      </pivotArea>
    </chartFormat>
    <chartFormat chart="5" format="10421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13"/>
          </reference>
          <reference field="15" count="1" selected="0">
            <x v="3"/>
          </reference>
        </references>
      </pivotArea>
    </chartFormat>
    <chartFormat chart="5" format="10422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13"/>
          </reference>
          <reference field="15" count="1" selected="0">
            <x v="3"/>
          </reference>
        </references>
      </pivotArea>
    </chartFormat>
    <chartFormat chart="5" format="10423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13"/>
          </reference>
          <reference field="15" count="1" selected="0">
            <x v="3"/>
          </reference>
        </references>
      </pivotArea>
    </chartFormat>
    <chartFormat chart="5" format="10424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14"/>
          </reference>
          <reference field="15" count="1" selected="0">
            <x v="3"/>
          </reference>
        </references>
      </pivotArea>
    </chartFormat>
    <chartFormat chart="5" format="10425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14"/>
          </reference>
          <reference field="15" count="1" selected="0">
            <x v="3"/>
          </reference>
        </references>
      </pivotArea>
    </chartFormat>
    <chartFormat chart="5" format="10426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14"/>
          </reference>
          <reference field="15" count="1" selected="0">
            <x v="3"/>
          </reference>
        </references>
      </pivotArea>
    </chartFormat>
    <chartFormat chart="5" format="10427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14"/>
          </reference>
          <reference field="15" count="1" selected="0">
            <x v="3"/>
          </reference>
        </references>
      </pivotArea>
    </chartFormat>
    <chartFormat chart="5" format="10428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14"/>
          </reference>
          <reference field="15" count="1" selected="0">
            <x v="3"/>
          </reference>
        </references>
      </pivotArea>
    </chartFormat>
    <chartFormat chart="5" format="10429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14"/>
          </reference>
          <reference field="15" count="1" selected="0">
            <x v="3"/>
          </reference>
        </references>
      </pivotArea>
    </chartFormat>
    <chartFormat chart="5" format="10430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15"/>
          </reference>
          <reference field="15" count="1" selected="0">
            <x v="3"/>
          </reference>
        </references>
      </pivotArea>
    </chartFormat>
    <chartFormat chart="5" format="10431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15"/>
          </reference>
          <reference field="15" count="1" selected="0">
            <x v="3"/>
          </reference>
        </references>
      </pivotArea>
    </chartFormat>
    <chartFormat chart="5" format="10432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15"/>
          </reference>
          <reference field="15" count="1" selected="0">
            <x v="3"/>
          </reference>
        </references>
      </pivotArea>
    </chartFormat>
    <chartFormat chart="5" format="10433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15"/>
          </reference>
          <reference field="15" count="1" selected="0">
            <x v="3"/>
          </reference>
        </references>
      </pivotArea>
    </chartFormat>
    <chartFormat chart="5" format="10434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15"/>
          </reference>
          <reference field="15" count="1" selected="0">
            <x v="3"/>
          </reference>
        </references>
      </pivotArea>
    </chartFormat>
    <chartFormat chart="5" format="10435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15"/>
          </reference>
          <reference field="15" count="1" selected="0">
            <x v="3"/>
          </reference>
        </references>
      </pivotArea>
    </chartFormat>
    <chartFormat chart="5" format="10436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16"/>
          </reference>
          <reference field="15" count="1" selected="0">
            <x v="3"/>
          </reference>
        </references>
      </pivotArea>
    </chartFormat>
    <chartFormat chart="5" format="10437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16"/>
          </reference>
          <reference field="15" count="1" selected="0">
            <x v="3"/>
          </reference>
        </references>
      </pivotArea>
    </chartFormat>
    <chartFormat chart="5" format="10438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16"/>
          </reference>
          <reference field="15" count="1" selected="0">
            <x v="3"/>
          </reference>
        </references>
      </pivotArea>
    </chartFormat>
    <chartFormat chart="5" format="10439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16"/>
          </reference>
          <reference field="15" count="1" selected="0">
            <x v="3"/>
          </reference>
        </references>
      </pivotArea>
    </chartFormat>
    <chartFormat chart="5" format="10440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16"/>
          </reference>
          <reference field="15" count="1" selected="0">
            <x v="3"/>
          </reference>
        </references>
      </pivotArea>
    </chartFormat>
    <chartFormat chart="5" format="10441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16"/>
          </reference>
          <reference field="15" count="1" selected="0">
            <x v="3"/>
          </reference>
        </references>
      </pivotArea>
    </chartFormat>
    <chartFormat chart="5" format="10442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17"/>
          </reference>
          <reference field="15" count="1" selected="0">
            <x v="3"/>
          </reference>
        </references>
      </pivotArea>
    </chartFormat>
    <chartFormat chart="5" format="10443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17"/>
          </reference>
          <reference field="15" count="1" selected="0">
            <x v="3"/>
          </reference>
        </references>
      </pivotArea>
    </chartFormat>
    <chartFormat chart="5" format="10444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17"/>
          </reference>
          <reference field="15" count="1" selected="0">
            <x v="3"/>
          </reference>
        </references>
      </pivotArea>
    </chartFormat>
    <chartFormat chart="5" format="10445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17"/>
          </reference>
          <reference field="15" count="1" selected="0">
            <x v="3"/>
          </reference>
        </references>
      </pivotArea>
    </chartFormat>
    <chartFormat chart="5" format="10446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17"/>
          </reference>
          <reference field="15" count="1" selected="0">
            <x v="3"/>
          </reference>
        </references>
      </pivotArea>
    </chartFormat>
    <chartFormat chart="5" format="10447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17"/>
          </reference>
          <reference field="15" count="1" selected="0">
            <x v="3"/>
          </reference>
        </references>
      </pivotArea>
    </chartFormat>
    <chartFormat chart="5" format="10448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18"/>
          </reference>
          <reference field="15" count="1" selected="0">
            <x v="3"/>
          </reference>
        </references>
      </pivotArea>
    </chartFormat>
    <chartFormat chart="5" format="10449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18"/>
          </reference>
          <reference field="15" count="1" selected="0">
            <x v="3"/>
          </reference>
        </references>
      </pivotArea>
    </chartFormat>
    <chartFormat chart="5" format="10450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18"/>
          </reference>
          <reference field="15" count="1" selected="0">
            <x v="3"/>
          </reference>
        </references>
      </pivotArea>
    </chartFormat>
    <chartFormat chart="5" format="10451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18"/>
          </reference>
          <reference field="15" count="1" selected="0">
            <x v="3"/>
          </reference>
        </references>
      </pivotArea>
    </chartFormat>
    <chartFormat chart="5" format="10452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18"/>
          </reference>
          <reference field="15" count="1" selected="0">
            <x v="3"/>
          </reference>
        </references>
      </pivotArea>
    </chartFormat>
    <chartFormat chart="5" format="10453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18"/>
          </reference>
          <reference field="15" count="1" selected="0">
            <x v="3"/>
          </reference>
        </references>
      </pivotArea>
    </chartFormat>
    <chartFormat chart="5" format="10454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19"/>
          </reference>
          <reference field="15" count="1" selected="0">
            <x v="4"/>
          </reference>
        </references>
      </pivotArea>
    </chartFormat>
    <chartFormat chart="5" format="10455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19"/>
          </reference>
          <reference field="15" count="1" selected="0">
            <x v="4"/>
          </reference>
        </references>
      </pivotArea>
    </chartFormat>
    <chartFormat chart="5" format="10456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19"/>
          </reference>
          <reference field="15" count="1" selected="0">
            <x v="4"/>
          </reference>
        </references>
      </pivotArea>
    </chartFormat>
    <chartFormat chart="5" format="10457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19"/>
          </reference>
          <reference field="15" count="1" selected="0">
            <x v="4"/>
          </reference>
        </references>
      </pivotArea>
    </chartFormat>
    <chartFormat chart="5" format="10458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19"/>
          </reference>
          <reference field="15" count="1" selected="0">
            <x v="4"/>
          </reference>
        </references>
      </pivotArea>
    </chartFormat>
    <chartFormat chart="5" format="10459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20"/>
          </reference>
          <reference field="15" count="1" selected="0">
            <x v="4"/>
          </reference>
        </references>
      </pivotArea>
    </chartFormat>
    <chartFormat chart="5" format="10460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20"/>
          </reference>
          <reference field="15" count="1" selected="0">
            <x v="4"/>
          </reference>
        </references>
      </pivotArea>
    </chartFormat>
    <chartFormat chart="5" format="10461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20"/>
          </reference>
          <reference field="15" count="1" selected="0">
            <x v="4"/>
          </reference>
        </references>
      </pivotArea>
    </chartFormat>
    <chartFormat chart="5" format="10462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20"/>
          </reference>
          <reference field="15" count="1" selected="0">
            <x v="4"/>
          </reference>
        </references>
      </pivotArea>
    </chartFormat>
    <chartFormat chart="5" format="10463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20"/>
          </reference>
          <reference field="15" count="1" selected="0">
            <x v="4"/>
          </reference>
        </references>
      </pivotArea>
    </chartFormat>
    <chartFormat chart="5" format="10464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21"/>
          </reference>
          <reference field="15" count="1" selected="0">
            <x v="4"/>
          </reference>
        </references>
      </pivotArea>
    </chartFormat>
    <chartFormat chart="5" format="10465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21"/>
          </reference>
          <reference field="15" count="1" selected="0">
            <x v="4"/>
          </reference>
        </references>
      </pivotArea>
    </chartFormat>
    <chartFormat chart="5" format="10466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21"/>
          </reference>
          <reference field="15" count="1" selected="0">
            <x v="4"/>
          </reference>
        </references>
      </pivotArea>
    </chartFormat>
    <chartFormat chart="5" format="10467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21"/>
          </reference>
          <reference field="15" count="1" selected="0">
            <x v="4"/>
          </reference>
        </references>
      </pivotArea>
    </chartFormat>
    <chartFormat chart="5" format="10468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21"/>
          </reference>
          <reference field="15" count="1" selected="0">
            <x v="4"/>
          </reference>
        </references>
      </pivotArea>
    </chartFormat>
    <chartFormat chart="5" format="10469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22"/>
          </reference>
          <reference field="15" count="1" selected="0">
            <x v="4"/>
          </reference>
        </references>
      </pivotArea>
    </chartFormat>
    <chartFormat chart="5" format="10470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22"/>
          </reference>
          <reference field="15" count="1" selected="0">
            <x v="4"/>
          </reference>
        </references>
      </pivotArea>
    </chartFormat>
    <chartFormat chart="5" format="10471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22"/>
          </reference>
          <reference field="15" count="1" selected="0">
            <x v="4"/>
          </reference>
        </references>
      </pivotArea>
    </chartFormat>
    <chartFormat chart="5" format="10472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22"/>
          </reference>
          <reference field="15" count="1" selected="0">
            <x v="4"/>
          </reference>
        </references>
      </pivotArea>
    </chartFormat>
    <chartFormat chart="5" format="10473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22"/>
          </reference>
          <reference field="15" count="1" selected="0">
            <x v="4"/>
          </reference>
        </references>
      </pivotArea>
    </chartFormat>
    <chartFormat chart="5" format="10474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23"/>
          </reference>
          <reference field="15" count="1" selected="0">
            <x v="4"/>
          </reference>
        </references>
      </pivotArea>
    </chartFormat>
    <chartFormat chart="5" format="10475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23"/>
          </reference>
          <reference field="15" count="1" selected="0">
            <x v="4"/>
          </reference>
        </references>
      </pivotArea>
    </chartFormat>
    <chartFormat chart="5" format="10476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23"/>
          </reference>
          <reference field="15" count="1" selected="0">
            <x v="4"/>
          </reference>
        </references>
      </pivotArea>
    </chartFormat>
    <chartFormat chart="5" format="10477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23"/>
          </reference>
          <reference field="15" count="1" selected="0">
            <x v="4"/>
          </reference>
        </references>
      </pivotArea>
    </chartFormat>
    <chartFormat chart="5" format="10478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23"/>
          </reference>
          <reference field="15" count="1" selected="0">
            <x v="4"/>
          </reference>
        </references>
      </pivotArea>
    </chartFormat>
    <chartFormat chart="5" format="10479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24"/>
          </reference>
          <reference field="15" count="1" selected="0">
            <x v="4"/>
          </reference>
        </references>
      </pivotArea>
    </chartFormat>
    <chartFormat chart="5" format="10480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24"/>
          </reference>
          <reference field="15" count="1" selected="0">
            <x v="4"/>
          </reference>
        </references>
      </pivotArea>
    </chartFormat>
    <chartFormat chart="5" format="10481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24"/>
          </reference>
          <reference field="15" count="1" selected="0">
            <x v="4"/>
          </reference>
        </references>
      </pivotArea>
    </chartFormat>
    <chartFormat chart="5" format="10482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24"/>
          </reference>
          <reference field="15" count="1" selected="0">
            <x v="4"/>
          </reference>
        </references>
      </pivotArea>
    </chartFormat>
    <chartFormat chart="5" format="10483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24"/>
          </reference>
          <reference field="15" count="1" selected="0">
            <x v="4"/>
          </reference>
        </references>
      </pivotArea>
    </chartFormat>
    <chartFormat chart="5" format="10484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25"/>
          </reference>
          <reference field="15" count="1" selected="0">
            <x v="4"/>
          </reference>
        </references>
      </pivotArea>
    </chartFormat>
    <chartFormat chart="5" format="10485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25"/>
          </reference>
          <reference field="15" count="1" selected="0">
            <x v="4"/>
          </reference>
        </references>
      </pivotArea>
    </chartFormat>
    <chartFormat chart="5" format="10486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25"/>
          </reference>
          <reference field="15" count="1" selected="0">
            <x v="4"/>
          </reference>
        </references>
      </pivotArea>
    </chartFormat>
    <chartFormat chart="5" format="10487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25"/>
          </reference>
          <reference field="15" count="1" selected="0">
            <x v="4"/>
          </reference>
        </references>
      </pivotArea>
    </chartFormat>
    <chartFormat chart="5" format="10488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25"/>
          </reference>
          <reference field="15" count="1" selected="0">
            <x v="4"/>
          </reference>
        </references>
      </pivotArea>
    </chartFormat>
    <chartFormat chart="5" format="10489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26"/>
          </reference>
          <reference field="15" count="1" selected="0">
            <x v="4"/>
          </reference>
        </references>
      </pivotArea>
    </chartFormat>
    <chartFormat chart="5" format="10490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26"/>
          </reference>
          <reference field="15" count="1" selected="0">
            <x v="4"/>
          </reference>
        </references>
      </pivotArea>
    </chartFormat>
    <chartFormat chart="5" format="10491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26"/>
          </reference>
          <reference field="15" count="1" selected="0">
            <x v="4"/>
          </reference>
        </references>
      </pivotArea>
    </chartFormat>
    <chartFormat chart="5" format="10492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26"/>
          </reference>
          <reference field="15" count="1" selected="0">
            <x v="4"/>
          </reference>
        </references>
      </pivotArea>
    </chartFormat>
    <chartFormat chart="5" format="10493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26"/>
          </reference>
          <reference field="15" count="1" selected="0">
            <x v="4"/>
          </reference>
        </references>
      </pivotArea>
    </chartFormat>
    <chartFormat chart="5" format="10494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27"/>
          </reference>
          <reference field="15" count="1" selected="0">
            <x v="4"/>
          </reference>
        </references>
      </pivotArea>
    </chartFormat>
    <chartFormat chart="5" format="10495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27"/>
          </reference>
          <reference field="15" count="1" selected="0">
            <x v="4"/>
          </reference>
        </references>
      </pivotArea>
    </chartFormat>
    <chartFormat chart="5" format="10496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27"/>
          </reference>
          <reference field="15" count="1" selected="0">
            <x v="4"/>
          </reference>
        </references>
      </pivotArea>
    </chartFormat>
    <chartFormat chart="5" format="10497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27"/>
          </reference>
          <reference field="15" count="1" selected="0">
            <x v="4"/>
          </reference>
        </references>
      </pivotArea>
    </chartFormat>
    <chartFormat chart="5" format="10498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27"/>
          </reference>
          <reference field="15" count="1" selected="0">
            <x v="4"/>
          </reference>
        </references>
      </pivotArea>
    </chartFormat>
    <chartFormat chart="5" format="10499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28"/>
          </reference>
          <reference field="15" count="1" selected="0">
            <x v="4"/>
          </reference>
        </references>
      </pivotArea>
    </chartFormat>
    <chartFormat chart="5" format="10500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28"/>
          </reference>
          <reference field="15" count="1" selected="0">
            <x v="4"/>
          </reference>
        </references>
      </pivotArea>
    </chartFormat>
    <chartFormat chart="5" format="10501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28"/>
          </reference>
          <reference field="15" count="1" selected="0">
            <x v="4"/>
          </reference>
        </references>
      </pivotArea>
    </chartFormat>
    <chartFormat chart="5" format="10502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28"/>
          </reference>
          <reference field="15" count="1" selected="0">
            <x v="4"/>
          </reference>
        </references>
      </pivotArea>
    </chartFormat>
    <chartFormat chart="5" format="10503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28"/>
          </reference>
          <reference field="15" count="1" selected="0">
            <x v="4"/>
          </reference>
        </references>
      </pivotArea>
    </chartFormat>
    <chartFormat chart="5" format="10504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29"/>
          </reference>
          <reference field="15" count="1" selected="0">
            <x v="4"/>
          </reference>
        </references>
      </pivotArea>
    </chartFormat>
    <chartFormat chart="5" format="10505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29"/>
          </reference>
          <reference field="15" count="1" selected="0">
            <x v="4"/>
          </reference>
        </references>
      </pivotArea>
    </chartFormat>
    <chartFormat chart="5" format="10506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29"/>
          </reference>
          <reference field="15" count="1" selected="0">
            <x v="4"/>
          </reference>
        </references>
      </pivotArea>
    </chartFormat>
    <chartFormat chart="5" format="10507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29"/>
          </reference>
          <reference field="15" count="1" selected="0">
            <x v="4"/>
          </reference>
        </references>
      </pivotArea>
    </chartFormat>
    <chartFormat chart="5" format="10508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29"/>
          </reference>
          <reference field="15" count="1" selected="0">
            <x v="4"/>
          </reference>
        </references>
      </pivotArea>
    </chartFormat>
    <chartFormat chart="5" format="10509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30"/>
          </reference>
          <reference field="15" count="1" selected="0">
            <x v="4"/>
          </reference>
        </references>
      </pivotArea>
    </chartFormat>
    <chartFormat chart="5" format="10510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30"/>
          </reference>
          <reference field="15" count="1" selected="0">
            <x v="4"/>
          </reference>
        </references>
      </pivotArea>
    </chartFormat>
    <chartFormat chart="5" format="10511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30"/>
          </reference>
          <reference field="15" count="1" selected="0">
            <x v="4"/>
          </reference>
        </references>
      </pivotArea>
    </chartFormat>
    <chartFormat chart="5" format="10512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30"/>
          </reference>
          <reference field="15" count="1" selected="0">
            <x v="4"/>
          </reference>
        </references>
      </pivotArea>
    </chartFormat>
    <chartFormat chart="5" format="10513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30"/>
          </reference>
          <reference field="15" count="1" selected="0">
            <x v="4"/>
          </reference>
        </references>
      </pivotArea>
    </chartFormat>
    <chartFormat chart="5" format="10514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31"/>
          </reference>
          <reference field="15" count="1" selected="0">
            <x v="4"/>
          </reference>
        </references>
      </pivotArea>
    </chartFormat>
    <chartFormat chart="5" format="10515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31"/>
          </reference>
          <reference field="15" count="1" selected="0">
            <x v="4"/>
          </reference>
        </references>
      </pivotArea>
    </chartFormat>
    <chartFormat chart="5" format="10516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31"/>
          </reference>
          <reference field="15" count="1" selected="0">
            <x v="4"/>
          </reference>
        </references>
      </pivotArea>
    </chartFormat>
    <chartFormat chart="5" format="10517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31"/>
          </reference>
          <reference field="15" count="1" selected="0">
            <x v="4"/>
          </reference>
        </references>
      </pivotArea>
    </chartFormat>
    <chartFormat chart="5" format="10518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31"/>
          </reference>
          <reference field="15" count="1" selected="0">
            <x v="4"/>
          </reference>
        </references>
      </pivotArea>
    </chartFormat>
    <chartFormat chart="5" format="10519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32"/>
          </reference>
          <reference field="15" count="1" selected="0">
            <x v="5"/>
          </reference>
        </references>
      </pivotArea>
    </chartFormat>
    <chartFormat chart="5" format="10520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32"/>
          </reference>
          <reference field="15" count="1" selected="0">
            <x v="5"/>
          </reference>
        </references>
      </pivotArea>
    </chartFormat>
    <chartFormat chart="5" format="10521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32"/>
          </reference>
          <reference field="15" count="1" selected="0">
            <x v="5"/>
          </reference>
        </references>
      </pivotArea>
    </chartFormat>
    <chartFormat chart="5" format="10522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32"/>
          </reference>
          <reference field="15" count="1" selected="0">
            <x v="5"/>
          </reference>
        </references>
      </pivotArea>
    </chartFormat>
    <chartFormat chart="5" format="10523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32"/>
          </reference>
          <reference field="15" count="1" selected="0">
            <x v="5"/>
          </reference>
        </references>
      </pivotArea>
    </chartFormat>
    <chartFormat chart="5" format="10524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33"/>
          </reference>
          <reference field="15" count="1" selected="0">
            <x v="5"/>
          </reference>
        </references>
      </pivotArea>
    </chartFormat>
    <chartFormat chart="5" format="10525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33"/>
          </reference>
          <reference field="15" count="1" selected="0">
            <x v="5"/>
          </reference>
        </references>
      </pivotArea>
    </chartFormat>
    <chartFormat chart="5" format="10526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33"/>
          </reference>
          <reference field="15" count="1" selected="0">
            <x v="5"/>
          </reference>
        </references>
      </pivotArea>
    </chartFormat>
    <chartFormat chart="5" format="10527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33"/>
          </reference>
          <reference field="15" count="1" selected="0">
            <x v="5"/>
          </reference>
        </references>
      </pivotArea>
    </chartFormat>
    <chartFormat chart="5" format="10528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33"/>
          </reference>
          <reference field="15" count="1" selected="0">
            <x v="5"/>
          </reference>
        </references>
      </pivotArea>
    </chartFormat>
    <chartFormat chart="5" format="10529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34"/>
          </reference>
          <reference field="15" count="1" selected="0">
            <x v="5"/>
          </reference>
        </references>
      </pivotArea>
    </chartFormat>
    <chartFormat chart="5" format="10530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34"/>
          </reference>
          <reference field="15" count="1" selected="0">
            <x v="5"/>
          </reference>
        </references>
      </pivotArea>
    </chartFormat>
    <chartFormat chart="5" format="10531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34"/>
          </reference>
          <reference field="15" count="1" selected="0">
            <x v="5"/>
          </reference>
        </references>
      </pivotArea>
    </chartFormat>
    <chartFormat chart="5" format="10532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34"/>
          </reference>
          <reference field="15" count="1" selected="0">
            <x v="5"/>
          </reference>
        </references>
      </pivotArea>
    </chartFormat>
    <chartFormat chart="5" format="10533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34"/>
          </reference>
          <reference field="15" count="1" selected="0">
            <x v="5"/>
          </reference>
        </references>
      </pivotArea>
    </chartFormat>
    <chartFormat chart="5" format="10534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35"/>
          </reference>
          <reference field="15" count="1" selected="0">
            <x v="5"/>
          </reference>
        </references>
      </pivotArea>
    </chartFormat>
    <chartFormat chart="5" format="10535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35"/>
          </reference>
          <reference field="15" count="1" selected="0">
            <x v="5"/>
          </reference>
        </references>
      </pivotArea>
    </chartFormat>
    <chartFormat chart="5" format="10536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35"/>
          </reference>
          <reference field="15" count="1" selected="0">
            <x v="5"/>
          </reference>
        </references>
      </pivotArea>
    </chartFormat>
    <chartFormat chart="5" format="10537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35"/>
          </reference>
          <reference field="15" count="1" selected="0">
            <x v="5"/>
          </reference>
        </references>
      </pivotArea>
    </chartFormat>
    <chartFormat chart="5" format="10538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35"/>
          </reference>
          <reference field="15" count="1" selected="0">
            <x v="5"/>
          </reference>
        </references>
      </pivotArea>
    </chartFormat>
    <chartFormat chart="5" format="10539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36"/>
          </reference>
          <reference field="15" count="1" selected="0">
            <x v="5"/>
          </reference>
        </references>
      </pivotArea>
    </chartFormat>
    <chartFormat chart="5" format="10540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36"/>
          </reference>
          <reference field="15" count="1" selected="0">
            <x v="5"/>
          </reference>
        </references>
      </pivotArea>
    </chartFormat>
    <chartFormat chart="5" format="10541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36"/>
          </reference>
          <reference field="15" count="1" selected="0">
            <x v="5"/>
          </reference>
        </references>
      </pivotArea>
    </chartFormat>
    <chartFormat chart="5" format="10542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36"/>
          </reference>
          <reference field="15" count="1" selected="0">
            <x v="5"/>
          </reference>
        </references>
      </pivotArea>
    </chartFormat>
    <chartFormat chart="5" format="10543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36"/>
          </reference>
          <reference field="15" count="1" selected="0">
            <x v="5"/>
          </reference>
        </references>
      </pivotArea>
    </chartFormat>
    <chartFormat chart="5" format="10544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37"/>
          </reference>
          <reference field="15" count="1" selected="0">
            <x v="5"/>
          </reference>
        </references>
      </pivotArea>
    </chartFormat>
    <chartFormat chart="5" format="10545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37"/>
          </reference>
          <reference field="15" count="1" selected="0">
            <x v="5"/>
          </reference>
        </references>
      </pivotArea>
    </chartFormat>
    <chartFormat chart="5" format="10546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37"/>
          </reference>
          <reference field="15" count="1" selected="0">
            <x v="5"/>
          </reference>
        </references>
      </pivotArea>
    </chartFormat>
    <chartFormat chart="5" format="10547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37"/>
          </reference>
          <reference field="15" count="1" selected="0">
            <x v="5"/>
          </reference>
        </references>
      </pivotArea>
    </chartFormat>
    <chartFormat chart="5" format="10548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37"/>
          </reference>
          <reference field="15" count="1" selected="0">
            <x v="5"/>
          </reference>
        </references>
      </pivotArea>
    </chartFormat>
    <chartFormat chart="5" format="10549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38"/>
          </reference>
          <reference field="15" count="1" selected="0">
            <x v="5"/>
          </reference>
        </references>
      </pivotArea>
    </chartFormat>
    <chartFormat chart="5" format="10550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38"/>
          </reference>
          <reference field="15" count="1" selected="0">
            <x v="5"/>
          </reference>
        </references>
      </pivotArea>
    </chartFormat>
    <chartFormat chart="5" format="10551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38"/>
          </reference>
          <reference field="15" count="1" selected="0">
            <x v="5"/>
          </reference>
        </references>
      </pivotArea>
    </chartFormat>
    <chartFormat chart="5" format="10552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38"/>
          </reference>
          <reference field="15" count="1" selected="0">
            <x v="5"/>
          </reference>
        </references>
      </pivotArea>
    </chartFormat>
    <chartFormat chart="5" format="10553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38"/>
          </reference>
          <reference field="15" count="1" selected="0">
            <x v="5"/>
          </reference>
        </references>
      </pivotArea>
    </chartFormat>
    <chartFormat chart="5" format="10554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39"/>
          </reference>
          <reference field="15" count="1" selected="0">
            <x v="5"/>
          </reference>
        </references>
      </pivotArea>
    </chartFormat>
    <chartFormat chart="5" format="10555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39"/>
          </reference>
          <reference field="15" count="1" selected="0">
            <x v="5"/>
          </reference>
        </references>
      </pivotArea>
    </chartFormat>
    <chartFormat chart="5" format="10556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39"/>
          </reference>
          <reference field="15" count="1" selected="0">
            <x v="5"/>
          </reference>
        </references>
      </pivotArea>
    </chartFormat>
    <chartFormat chart="5" format="10557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39"/>
          </reference>
          <reference field="15" count="1" selected="0">
            <x v="5"/>
          </reference>
        </references>
      </pivotArea>
    </chartFormat>
    <chartFormat chart="5" format="10558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39"/>
          </reference>
          <reference field="15" count="1" selected="0">
            <x v="5"/>
          </reference>
        </references>
      </pivotArea>
    </chartFormat>
    <chartFormat chart="5" format="10559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40"/>
          </reference>
          <reference field="15" count="1" selected="0">
            <x v="5"/>
          </reference>
        </references>
      </pivotArea>
    </chartFormat>
    <chartFormat chart="5" format="10560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40"/>
          </reference>
          <reference field="15" count="1" selected="0">
            <x v="5"/>
          </reference>
        </references>
      </pivotArea>
    </chartFormat>
    <chartFormat chart="5" format="10561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40"/>
          </reference>
          <reference field="15" count="1" selected="0">
            <x v="5"/>
          </reference>
        </references>
      </pivotArea>
    </chartFormat>
    <chartFormat chart="5" format="10562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40"/>
          </reference>
          <reference field="15" count="1" selected="0">
            <x v="5"/>
          </reference>
        </references>
      </pivotArea>
    </chartFormat>
    <chartFormat chart="5" format="10563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40"/>
          </reference>
          <reference field="15" count="1" selected="0">
            <x v="5"/>
          </reference>
        </references>
      </pivotArea>
    </chartFormat>
    <chartFormat chart="5" format="10564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41"/>
          </reference>
          <reference field="15" count="1" selected="0">
            <x v="5"/>
          </reference>
        </references>
      </pivotArea>
    </chartFormat>
    <chartFormat chart="5" format="10565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41"/>
          </reference>
          <reference field="15" count="1" selected="0">
            <x v="5"/>
          </reference>
        </references>
      </pivotArea>
    </chartFormat>
    <chartFormat chart="5" format="10566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41"/>
          </reference>
          <reference field="15" count="1" selected="0">
            <x v="5"/>
          </reference>
        </references>
      </pivotArea>
    </chartFormat>
    <chartFormat chart="5" format="10567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41"/>
          </reference>
          <reference field="15" count="1" selected="0">
            <x v="5"/>
          </reference>
        </references>
      </pivotArea>
    </chartFormat>
    <chartFormat chart="5" format="10568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41"/>
          </reference>
          <reference field="15" count="1" selected="0">
            <x v="5"/>
          </reference>
        </references>
      </pivotArea>
    </chartFormat>
    <chartFormat chart="5" format="10569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42"/>
          </reference>
          <reference field="15" count="1" selected="0">
            <x v="5"/>
          </reference>
        </references>
      </pivotArea>
    </chartFormat>
    <chartFormat chart="5" format="10570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42"/>
          </reference>
          <reference field="15" count="1" selected="0">
            <x v="5"/>
          </reference>
        </references>
      </pivotArea>
    </chartFormat>
    <chartFormat chart="5" format="10571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42"/>
          </reference>
          <reference field="15" count="1" selected="0">
            <x v="5"/>
          </reference>
        </references>
      </pivotArea>
    </chartFormat>
    <chartFormat chart="5" format="10572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42"/>
          </reference>
          <reference field="15" count="1" selected="0">
            <x v="5"/>
          </reference>
        </references>
      </pivotArea>
    </chartFormat>
    <chartFormat chart="5" format="10573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42"/>
          </reference>
          <reference field="15" count="1" selected="0">
            <x v="5"/>
          </reference>
        </references>
      </pivotArea>
    </chartFormat>
    <chartFormat chart="5" format="10574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43"/>
          </reference>
          <reference field="15" count="1" selected="0">
            <x v="5"/>
          </reference>
        </references>
      </pivotArea>
    </chartFormat>
    <chartFormat chart="5" format="10575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43"/>
          </reference>
          <reference field="15" count="1" selected="0">
            <x v="5"/>
          </reference>
        </references>
      </pivotArea>
    </chartFormat>
    <chartFormat chart="5" format="10576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43"/>
          </reference>
          <reference field="15" count="1" selected="0">
            <x v="5"/>
          </reference>
        </references>
      </pivotArea>
    </chartFormat>
    <chartFormat chart="5" format="10577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43"/>
          </reference>
          <reference field="15" count="1" selected="0">
            <x v="5"/>
          </reference>
        </references>
      </pivotArea>
    </chartFormat>
    <chartFormat chart="5" format="10578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43"/>
          </reference>
          <reference field="15" count="1" selected="0">
            <x v="5"/>
          </reference>
        </references>
      </pivotArea>
    </chartFormat>
    <chartFormat chart="3" format="11400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086"/>
          </reference>
          <reference field="15" count="1" selected="0">
            <x v="2"/>
          </reference>
        </references>
      </pivotArea>
    </chartFormat>
    <chartFormat chart="3" format="11401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086"/>
          </reference>
          <reference field="15" count="1" selected="0">
            <x v="2"/>
          </reference>
        </references>
      </pivotArea>
    </chartFormat>
    <chartFormat chart="3" format="11402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086"/>
          </reference>
          <reference field="15" count="1" selected="0">
            <x v="2"/>
          </reference>
        </references>
      </pivotArea>
    </chartFormat>
    <chartFormat chart="3" format="11403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086"/>
          </reference>
          <reference field="15" count="1" selected="0">
            <x v="2"/>
          </reference>
        </references>
      </pivotArea>
    </chartFormat>
    <chartFormat chart="3" format="11404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086"/>
          </reference>
          <reference field="15" count="1" selected="0">
            <x v="2"/>
          </reference>
        </references>
      </pivotArea>
    </chartFormat>
    <chartFormat chart="3" format="11405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086"/>
          </reference>
          <reference field="15" count="1" selected="0">
            <x v="2"/>
          </reference>
        </references>
      </pivotArea>
    </chartFormat>
    <chartFormat chart="3" format="11406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090"/>
          </reference>
          <reference field="15" count="1" selected="0">
            <x v="2"/>
          </reference>
        </references>
      </pivotArea>
    </chartFormat>
    <chartFormat chart="3" format="11407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090"/>
          </reference>
          <reference field="15" count="1" selected="0">
            <x v="2"/>
          </reference>
        </references>
      </pivotArea>
    </chartFormat>
    <chartFormat chart="3" format="11408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090"/>
          </reference>
          <reference field="15" count="1" selected="0">
            <x v="2"/>
          </reference>
        </references>
      </pivotArea>
    </chartFormat>
    <chartFormat chart="3" format="11409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090"/>
          </reference>
          <reference field="15" count="1" selected="0">
            <x v="2"/>
          </reference>
        </references>
      </pivotArea>
    </chartFormat>
    <chartFormat chart="3" format="11410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090"/>
          </reference>
          <reference field="15" count="1" selected="0">
            <x v="2"/>
          </reference>
        </references>
      </pivotArea>
    </chartFormat>
    <chartFormat chart="3" format="11411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090"/>
          </reference>
          <reference field="15" count="1" selected="0">
            <x v="2"/>
          </reference>
        </references>
      </pivotArea>
    </chartFormat>
    <chartFormat chart="3" format="11412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096"/>
          </reference>
          <reference field="15" count="1" selected="0">
            <x v="2"/>
          </reference>
        </references>
      </pivotArea>
    </chartFormat>
    <chartFormat chart="3" format="11413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096"/>
          </reference>
          <reference field="15" count="1" selected="0">
            <x v="2"/>
          </reference>
        </references>
      </pivotArea>
    </chartFormat>
    <chartFormat chart="3" format="11414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096"/>
          </reference>
          <reference field="15" count="1" selected="0">
            <x v="2"/>
          </reference>
        </references>
      </pivotArea>
    </chartFormat>
    <chartFormat chart="3" format="11415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096"/>
          </reference>
          <reference field="15" count="1" selected="0">
            <x v="2"/>
          </reference>
        </references>
      </pivotArea>
    </chartFormat>
    <chartFormat chart="3" format="11416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096"/>
          </reference>
          <reference field="15" count="1" selected="0">
            <x v="2"/>
          </reference>
        </references>
      </pivotArea>
    </chartFormat>
    <chartFormat chart="3" format="11417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096"/>
          </reference>
          <reference field="15" count="1" selected="0">
            <x v="2"/>
          </reference>
        </references>
      </pivotArea>
    </chartFormat>
    <chartFormat chart="3" format="11418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098"/>
          </reference>
          <reference field="15" count="1" selected="0">
            <x v="2"/>
          </reference>
        </references>
      </pivotArea>
    </chartFormat>
    <chartFormat chart="3" format="11419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098"/>
          </reference>
          <reference field="15" count="1" selected="0">
            <x v="2"/>
          </reference>
        </references>
      </pivotArea>
    </chartFormat>
    <chartFormat chart="3" format="11420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098"/>
          </reference>
          <reference field="15" count="1" selected="0">
            <x v="2"/>
          </reference>
        </references>
      </pivotArea>
    </chartFormat>
    <chartFormat chart="3" format="11421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098"/>
          </reference>
          <reference field="15" count="1" selected="0">
            <x v="2"/>
          </reference>
        </references>
      </pivotArea>
    </chartFormat>
    <chartFormat chart="3" format="11422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098"/>
          </reference>
          <reference field="15" count="1" selected="0">
            <x v="2"/>
          </reference>
        </references>
      </pivotArea>
    </chartFormat>
    <chartFormat chart="3" format="11423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098"/>
          </reference>
          <reference field="15" count="1" selected="0">
            <x v="2"/>
          </reference>
        </references>
      </pivotArea>
    </chartFormat>
    <chartFormat chart="3" format="11424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099"/>
          </reference>
          <reference field="15" count="1" selected="0">
            <x v="2"/>
          </reference>
        </references>
      </pivotArea>
    </chartFormat>
    <chartFormat chart="3" format="11425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099"/>
          </reference>
          <reference field="15" count="1" selected="0">
            <x v="2"/>
          </reference>
        </references>
      </pivotArea>
    </chartFormat>
    <chartFormat chart="3" format="11426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099"/>
          </reference>
          <reference field="15" count="1" selected="0">
            <x v="2"/>
          </reference>
        </references>
      </pivotArea>
    </chartFormat>
    <chartFormat chart="3" format="11427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099"/>
          </reference>
          <reference field="15" count="1" selected="0">
            <x v="2"/>
          </reference>
        </references>
      </pivotArea>
    </chartFormat>
    <chartFormat chart="3" format="11428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099"/>
          </reference>
          <reference field="15" count="1" selected="0">
            <x v="2"/>
          </reference>
        </references>
      </pivotArea>
    </chartFormat>
    <chartFormat chart="3" format="11429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099"/>
          </reference>
          <reference field="15" count="1" selected="0">
            <x v="2"/>
          </reference>
        </references>
      </pivotArea>
    </chartFormat>
    <chartFormat chart="3" format="11430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00"/>
          </reference>
          <reference field="15" count="1" selected="0">
            <x v="2"/>
          </reference>
        </references>
      </pivotArea>
    </chartFormat>
    <chartFormat chart="3" format="11431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00"/>
          </reference>
          <reference field="15" count="1" selected="0">
            <x v="2"/>
          </reference>
        </references>
      </pivotArea>
    </chartFormat>
    <chartFormat chart="3" format="11432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00"/>
          </reference>
          <reference field="15" count="1" selected="0">
            <x v="2"/>
          </reference>
        </references>
      </pivotArea>
    </chartFormat>
    <chartFormat chart="3" format="11433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00"/>
          </reference>
          <reference field="15" count="1" selected="0">
            <x v="2"/>
          </reference>
        </references>
      </pivotArea>
    </chartFormat>
    <chartFormat chart="3" format="11434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00"/>
          </reference>
          <reference field="15" count="1" selected="0">
            <x v="2"/>
          </reference>
        </references>
      </pivotArea>
    </chartFormat>
    <chartFormat chart="3" format="11435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00"/>
          </reference>
          <reference field="15" count="1" selected="0">
            <x v="2"/>
          </reference>
        </references>
      </pivotArea>
    </chartFormat>
    <chartFormat chart="3" format="11436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01"/>
          </reference>
          <reference field="15" count="1" selected="0">
            <x v="2"/>
          </reference>
        </references>
      </pivotArea>
    </chartFormat>
    <chartFormat chart="3" format="11437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01"/>
          </reference>
          <reference field="15" count="1" selected="0">
            <x v="2"/>
          </reference>
        </references>
      </pivotArea>
    </chartFormat>
    <chartFormat chart="3" format="11438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01"/>
          </reference>
          <reference field="15" count="1" selected="0">
            <x v="2"/>
          </reference>
        </references>
      </pivotArea>
    </chartFormat>
    <chartFormat chart="3" format="11439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01"/>
          </reference>
          <reference field="15" count="1" selected="0">
            <x v="2"/>
          </reference>
        </references>
      </pivotArea>
    </chartFormat>
    <chartFormat chart="3" format="11440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01"/>
          </reference>
          <reference field="15" count="1" selected="0">
            <x v="2"/>
          </reference>
        </references>
      </pivotArea>
    </chartFormat>
    <chartFormat chart="3" format="11441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01"/>
          </reference>
          <reference field="15" count="1" selected="0">
            <x v="2"/>
          </reference>
        </references>
      </pivotArea>
    </chartFormat>
    <chartFormat chart="3" format="11442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02"/>
          </reference>
          <reference field="15" count="1" selected="0">
            <x v="3"/>
          </reference>
        </references>
      </pivotArea>
    </chartFormat>
    <chartFormat chart="3" format="11443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02"/>
          </reference>
          <reference field="15" count="1" selected="0">
            <x v="3"/>
          </reference>
        </references>
      </pivotArea>
    </chartFormat>
    <chartFormat chart="3" format="11444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02"/>
          </reference>
          <reference field="15" count="1" selected="0">
            <x v="3"/>
          </reference>
        </references>
      </pivotArea>
    </chartFormat>
    <chartFormat chart="3" format="11445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02"/>
          </reference>
          <reference field="15" count="1" selected="0">
            <x v="3"/>
          </reference>
        </references>
      </pivotArea>
    </chartFormat>
    <chartFormat chart="3" format="11446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02"/>
          </reference>
          <reference field="15" count="1" selected="0">
            <x v="3"/>
          </reference>
        </references>
      </pivotArea>
    </chartFormat>
    <chartFormat chart="3" format="11447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02"/>
          </reference>
          <reference field="15" count="1" selected="0">
            <x v="3"/>
          </reference>
        </references>
      </pivotArea>
    </chartFormat>
    <chartFormat chart="3" format="11448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03"/>
          </reference>
          <reference field="15" count="1" selected="0">
            <x v="3"/>
          </reference>
        </references>
      </pivotArea>
    </chartFormat>
    <chartFormat chart="3" format="11449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03"/>
          </reference>
          <reference field="15" count="1" selected="0">
            <x v="3"/>
          </reference>
        </references>
      </pivotArea>
    </chartFormat>
    <chartFormat chart="3" format="11450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03"/>
          </reference>
          <reference field="15" count="1" selected="0">
            <x v="3"/>
          </reference>
        </references>
      </pivotArea>
    </chartFormat>
    <chartFormat chart="3" format="11451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03"/>
          </reference>
          <reference field="15" count="1" selected="0">
            <x v="3"/>
          </reference>
        </references>
      </pivotArea>
    </chartFormat>
    <chartFormat chart="3" format="11452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03"/>
          </reference>
          <reference field="15" count="1" selected="0">
            <x v="3"/>
          </reference>
        </references>
      </pivotArea>
    </chartFormat>
    <chartFormat chart="3" format="11453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03"/>
          </reference>
          <reference field="15" count="1" selected="0">
            <x v="3"/>
          </reference>
        </references>
      </pivotArea>
    </chartFormat>
    <chartFormat chart="3" format="11454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04"/>
          </reference>
          <reference field="15" count="1" selected="0">
            <x v="3"/>
          </reference>
        </references>
      </pivotArea>
    </chartFormat>
    <chartFormat chart="3" format="11455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04"/>
          </reference>
          <reference field="15" count="1" selected="0">
            <x v="3"/>
          </reference>
        </references>
      </pivotArea>
    </chartFormat>
    <chartFormat chart="3" format="11456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04"/>
          </reference>
          <reference field="15" count="1" selected="0">
            <x v="3"/>
          </reference>
        </references>
      </pivotArea>
    </chartFormat>
    <chartFormat chart="3" format="11457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04"/>
          </reference>
          <reference field="15" count="1" selected="0">
            <x v="3"/>
          </reference>
        </references>
      </pivotArea>
    </chartFormat>
    <chartFormat chart="3" format="11458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04"/>
          </reference>
          <reference field="15" count="1" selected="0">
            <x v="3"/>
          </reference>
        </references>
      </pivotArea>
    </chartFormat>
    <chartFormat chart="3" format="11459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04"/>
          </reference>
          <reference field="15" count="1" selected="0">
            <x v="3"/>
          </reference>
        </references>
      </pivotArea>
    </chartFormat>
    <chartFormat chart="3" format="11460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05"/>
          </reference>
          <reference field="15" count="1" selected="0">
            <x v="3"/>
          </reference>
        </references>
      </pivotArea>
    </chartFormat>
    <chartFormat chart="3" format="11461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05"/>
          </reference>
          <reference field="15" count="1" selected="0">
            <x v="3"/>
          </reference>
        </references>
      </pivotArea>
    </chartFormat>
    <chartFormat chart="3" format="11462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05"/>
          </reference>
          <reference field="15" count="1" selected="0">
            <x v="3"/>
          </reference>
        </references>
      </pivotArea>
    </chartFormat>
    <chartFormat chart="3" format="11463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05"/>
          </reference>
          <reference field="15" count="1" selected="0">
            <x v="3"/>
          </reference>
        </references>
      </pivotArea>
    </chartFormat>
    <chartFormat chart="3" format="11464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05"/>
          </reference>
          <reference field="15" count="1" selected="0">
            <x v="3"/>
          </reference>
        </references>
      </pivotArea>
    </chartFormat>
    <chartFormat chart="3" format="11465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05"/>
          </reference>
          <reference field="15" count="1" selected="0">
            <x v="3"/>
          </reference>
        </references>
      </pivotArea>
    </chartFormat>
    <chartFormat chart="3" format="11466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06"/>
          </reference>
          <reference field="15" count="1" selected="0">
            <x v="3"/>
          </reference>
        </references>
      </pivotArea>
    </chartFormat>
    <chartFormat chart="3" format="11467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06"/>
          </reference>
          <reference field="15" count="1" selected="0">
            <x v="3"/>
          </reference>
        </references>
      </pivotArea>
    </chartFormat>
    <chartFormat chart="3" format="11468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06"/>
          </reference>
          <reference field="15" count="1" selected="0">
            <x v="3"/>
          </reference>
        </references>
      </pivotArea>
    </chartFormat>
    <chartFormat chart="3" format="11469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06"/>
          </reference>
          <reference field="15" count="1" selected="0">
            <x v="3"/>
          </reference>
        </references>
      </pivotArea>
    </chartFormat>
    <chartFormat chart="3" format="11470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06"/>
          </reference>
          <reference field="15" count="1" selected="0">
            <x v="3"/>
          </reference>
        </references>
      </pivotArea>
    </chartFormat>
    <chartFormat chart="3" format="11471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06"/>
          </reference>
          <reference field="15" count="1" selected="0">
            <x v="3"/>
          </reference>
        </references>
      </pivotArea>
    </chartFormat>
    <chartFormat chart="3" format="11472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07"/>
          </reference>
          <reference field="15" count="1" selected="0">
            <x v="3"/>
          </reference>
        </references>
      </pivotArea>
    </chartFormat>
    <chartFormat chart="3" format="11473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07"/>
          </reference>
          <reference field="15" count="1" selected="0">
            <x v="3"/>
          </reference>
        </references>
      </pivotArea>
    </chartFormat>
    <chartFormat chart="3" format="11474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07"/>
          </reference>
          <reference field="15" count="1" selected="0">
            <x v="3"/>
          </reference>
        </references>
      </pivotArea>
    </chartFormat>
    <chartFormat chart="3" format="11475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07"/>
          </reference>
          <reference field="15" count="1" selected="0">
            <x v="3"/>
          </reference>
        </references>
      </pivotArea>
    </chartFormat>
    <chartFormat chart="3" format="11476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07"/>
          </reference>
          <reference field="15" count="1" selected="0">
            <x v="3"/>
          </reference>
        </references>
      </pivotArea>
    </chartFormat>
    <chartFormat chart="3" format="11477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07"/>
          </reference>
          <reference field="15" count="1" selected="0">
            <x v="3"/>
          </reference>
        </references>
      </pivotArea>
    </chartFormat>
    <chartFormat chart="3" format="11478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08"/>
          </reference>
          <reference field="15" count="1" selected="0">
            <x v="3"/>
          </reference>
        </references>
      </pivotArea>
    </chartFormat>
    <chartFormat chart="3" format="11479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08"/>
          </reference>
          <reference field="15" count="1" selected="0">
            <x v="3"/>
          </reference>
        </references>
      </pivotArea>
    </chartFormat>
    <chartFormat chart="3" format="11480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08"/>
          </reference>
          <reference field="15" count="1" selected="0">
            <x v="3"/>
          </reference>
        </references>
      </pivotArea>
    </chartFormat>
    <chartFormat chart="3" format="11481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08"/>
          </reference>
          <reference field="15" count="1" selected="0">
            <x v="3"/>
          </reference>
        </references>
      </pivotArea>
    </chartFormat>
    <chartFormat chart="3" format="11482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08"/>
          </reference>
          <reference field="15" count="1" selected="0">
            <x v="3"/>
          </reference>
        </references>
      </pivotArea>
    </chartFormat>
    <chartFormat chart="3" format="11483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08"/>
          </reference>
          <reference field="15" count="1" selected="0">
            <x v="3"/>
          </reference>
        </references>
      </pivotArea>
    </chartFormat>
    <chartFormat chart="3" format="11484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09"/>
          </reference>
          <reference field="15" count="1" selected="0">
            <x v="3"/>
          </reference>
        </references>
      </pivotArea>
    </chartFormat>
    <chartFormat chart="3" format="11485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09"/>
          </reference>
          <reference field="15" count="1" selected="0">
            <x v="3"/>
          </reference>
        </references>
      </pivotArea>
    </chartFormat>
    <chartFormat chart="3" format="11486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09"/>
          </reference>
          <reference field="15" count="1" selected="0">
            <x v="3"/>
          </reference>
        </references>
      </pivotArea>
    </chartFormat>
    <chartFormat chart="3" format="11487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09"/>
          </reference>
          <reference field="15" count="1" selected="0">
            <x v="3"/>
          </reference>
        </references>
      </pivotArea>
    </chartFormat>
    <chartFormat chart="3" format="11488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09"/>
          </reference>
          <reference field="15" count="1" selected="0">
            <x v="3"/>
          </reference>
        </references>
      </pivotArea>
    </chartFormat>
    <chartFormat chart="3" format="11489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09"/>
          </reference>
          <reference field="15" count="1" selected="0">
            <x v="3"/>
          </reference>
        </references>
      </pivotArea>
    </chartFormat>
    <chartFormat chart="3" format="11490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10"/>
          </reference>
          <reference field="15" count="1" selected="0">
            <x v="3"/>
          </reference>
        </references>
      </pivotArea>
    </chartFormat>
    <chartFormat chart="3" format="11491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10"/>
          </reference>
          <reference field="15" count="1" selected="0">
            <x v="3"/>
          </reference>
        </references>
      </pivotArea>
    </chartFormat>
    <chartFormat chart="3" format="11492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10"/>
          </reference>
          <reference field="15" count="1" selected="0">
            <x v="3"/>
          </reference>
        </references>
      </pivotArea>
    </chartFormat>
    <chartFormat chart="3" format="11493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10"/>
          </reference>
          <reference field="15" count="1" selected="0">
            <x v="3"/>
          </reference>
        </references>
      </pivotArea>
    </chartFormat>
    <chartFormat chart="3" format="11494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10"/>
          </reference>
          <reference field="15" count="1" selected="0">
            <x v="3"/>
          </reference>
        </references>
      </pivotArea>
    </chartFormat>
    <chartFormat chart="3" format="11495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10"/>
          </reference>
          <reference field="15" count="1" selected="0">
            <x v="3"/>
          </reference>
        </references>
      </pivotArea>
    </chartFormat>
    <chartFormat chart="3" format="11496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11"/>
          </reference>
          <reference field="15" count="1" selected="0">
            <x v="3"/>
          </reference>
        </references>
      </pivotArea>
    </chartFormat>
    <chartFormat chart="3" format="11497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11"/>
          </reference>
          <reference field="15" count="1" selected="0">
            <x v="3"/>
          </reference>
        </references>
      </pivotArea>
    </chartFormat>
    <chartFormat chart="3" format="11498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11"/>
          </reference>
          <reference field="15" count="1" selected="0">
            <x v="3"/>
          </reference>
        </references>
      </pivotArea>
    </chartFormat>
    <chartFormat chart="3" format="11499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11"/>
          </reference>
          <reference field="15" count="1" selected="0">
            <x v="3"/>
          </reference>
        </references>
      </pivotArea>
    </chartFormat>
    <chartFormat chart="3" format="11500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11"/>
          </reference>
          <reference field="15" count="1" selected="0">
            <x v="3"/>
          </reference>
        </references>
      </pivotArea>
    </chartFormat>
    <chartFormat chart="3" format="11501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11"/>
          </reference>
          <reference field="15" count="1" selected="0">
            <x v="3"/>
          </reference>
        </references>
      </pivotArea>
    </chartFormat>
    <chartFormat chart="3" format="11502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12"/>
          </reference>
          <reference field="15" count="1" selected="0">
            <x v="3"/>
          </reference>
        </references>
      </pivotArea>
    </chartFormat>
    <chartFormat chart="3" format="11503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12"/>
          </reference>
          <reference field="15" count="1" selected="0">
            <x v="3"/>
          </reference>
        </references>
      </pivotArea>
    </chartFormat>
    <chartFormat chart="3" format="11504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12"/>
          </reference>
          <reference field="15" count="1" selected="0">
            <x v="3"/>
          </reference>
        </references>
      </pivotArea>
    </chartFormat>
    <chartFormat chart="3" format="11505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12"/>
          </reference>
          <reference field="15" count="1" selected="0">
            <x v="3"/>
          </reference>
        </references>
      </pivotArea>
    </chartFormat>
    <chartFormat chart="3" format="11506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12"/>
          </reference>
          <reference field="15" count="1" selected="0">
            <x v="3"/>
          </reference>
        </references>
      </pivotArea>
    </chartFormat>
    <chartFormat chart="3" format="11507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12"/>
          </reference>
          <reference field="15" count="1" selected="0">
            <x v="3"/>
          </reference>
        </references>
      </pivotArea>
    </chartFormat>
    <chartFormat chart="3" format="11508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13"/>
          </reference>
          <reference field="15" count="1" selected="0">
            <x v="3"/>
          </reference>
        </references>
      </pivotArea>
    </chartFormat>
    <chartFormat chart="3" format="11509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13"/>
          </reference>
          <reference field="15" count="1" selected="0">
            <x v="3"/>
          </reference>
        </references>
      </pivotArea>
    </chartFormat>
    <chartFormat chart="3" format="11510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13"/>
          </reference>
          <reference field="15" count="1" selected="0">
            <x v="3"/>
          </reference>
        </references>
      </pivotArea>
    </chartFormat>
    <chartFormat chart="3" format="11511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13"/>
          </reference>
          <reference field="15" count="1" selected="0">
            <x v="3"/>
          </reference>
        </references>
      </pivotArea>
    </chartFormat>
    <chartFormat chart="3" format="11512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13"/>
          </reference>
          <reference field="15" count="1" selected="0">
            <x v="3"/>
          </reference>
        </references>
      </pivotArea>
    </chartFormat>
    <chartFormat chart="3" format="11513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13"/>
          </reference>
          <reference field="15" count="1" selected="0">
            <x v="3"/>
          </reference>
        </references>
      </pivotArea>
    </chartFormat>
    <chartFormat chart="3" format="11514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14"/>
          </reference>
          <reference field="15" count="1" selected="0">
            <x v="3"/>
          </reference>
        </references>
      </pivotArea>
    </chartFormat>
    <chartFormat chart="3" format="11515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14"/>
          </reference>
          <reference field="15" count="1" selected="0">
            <x v="3"/>
          </reference>
        </references>
      </pivotArea>
    </chartFormat>
    <chartFormat chart="3" format="11516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14"/>
          </reference>
          <reference field="15" count="1" selected="0">
            <x v="3"/>
          </reference>
        </references>
      </pivotArea>
    </chartFormat>
    <chartFormat chart="3" format="11517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14"/>
          </reference>
          <reference field="15" count="1" selected="0">
            <x v="3"/>
          </reference>
        </references>
      </pivotArea>
    </chartFormat>
    <chartFormat chart="3" format="11518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14"/>
          </reference>
          <reference field="15" count="1" selected="0">
            <x v="3"/>
          </reference>
        </references>
      </pivotArea>
    </chartFormat>
    <chartFormat chart="3" format="11519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14"/>
          </reference>
          <reference field="15" count="1" selected="0">
            <x v="3"/>
          </reference>
        </references>
      </pivotArea>
    </chartFormat>
    <chartFormat chart="3" format="11520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15"/>
          </reference>
          <reference field="15" count="1" selected="0">
            <x v="3"/>
          </reference>
        </references>
      </pivotArea>
    </chartFormat>
    <chartFormat chart="3" format="11521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15"/>
          </reference>
          <reference field="15" count="1" selected="0">
            <x v="3"/>
          </reference>
        </references>
      </pivotArea>
    </chartFormat>
    <chartFormat chart="3" format="11522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15"/>
          </reference>
          <reference field="15" count="1" selected="0">
            <x v="3"/>
          </reference>
        </references>
      </pivotArea>
    </chartFormat>
    <chartFormat chart="3" format="11523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15"/>
          </reference>
          <reference field="15" count="1" selected="0">
            <x v="3"/>
          </reference>
        </references>
      </pivotArea>
    </chartFormat>
    <chartFormat chart="3" format="11524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15"/>
          </reference>
          <reference field="15" count="1" selected="0">
            <x v="3"/>
          </reference>
        </references>
      </pivotArea>
    </chartFormat>
    <chartFormat chart="3" format="11525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15"/>
          </reference>
          <reference field="15" count="1" selected="0">
            <x v="3"/>
          </reference>
        </references>
      </pivotArea>
    </chartFormat>
    <chartFormat chart="3" format="11526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16"/>
          </reference>
          <reference field="15" count="1" selected="0">
            <x v="3"/>
          </reference>
        </references>
      </pivotArea>
    </chartFormat>
    <chartFormat chart="3" format="11527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16"/>
          </reference>
          <reference field="15" count="1" selected="0">
            <x v="3"/>
          </reference>
        </references>
      </pivotArea>
    </chartFormat>
    <chartFormat chart="3" format="11528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16"/>
          </reference>
          <reference field="15" count="1" selected="0">
            <x v="3"/>
          </reference>
        </references>
      </pivotArea>
    </chartFormat>
    <chartFormat chart="3" format="11529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16"/>
          </reference>
          <reference field="15" count="1" selected="0">
            <x v="3"/>
          </reference>
        </references>
      </pivotArea>
    </chartFormat>
    <chartFormat chart="3" format="11530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16"/>
          </reference>
          <reference field="15" count="1" selected="0">
            <x v="3"/>
          </reference>
        </references>
      </pivotArea>
    </chartFormat>
    <chartFormat chart="3" format="11531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16"/>
          </reference>
          <reference field="15" count="1" selected="0">
            <x v="3"/>
          </reference>
        </references>
      </pivotArea>
    </chartFormat>
    <chartFormat chart="3" format="11532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17"/>
          </reference>
          <reference field="15" count="1" selected="0">
            <x v="3"/>
          </reference>
        </references>
      </pivotArea>
    </chartFormat>
    <chartFormat chart="3" format="11533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17"/>
          </reference>
          <reference field="15" count="1" selected="0">
            <x v="3"/>
          </reference>
        </references>
      </pivotArea>
    </chartFormat>
    <chartFormat chart="3" format="11534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17"/>
          </reference>
          <reference field="15" count="1" selected="0">
            <x v="3"/>
          </reference>
        </references>
      </pivotArea>
    </chartFormat>
    <chartFormat chart="3" format="11535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17"/>
          </reference>
          <reference field="15" count="1" selected="0">
            <x v="3"/>
          </reference>
        </references>
      </pivotArea>
    </chartFormat>
    <chartFormat chart="3" format="11536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17"/>
          </reference>
          <reference field="15" count="1" selected="0">
            <x v="3"/>
          </reference>
        </references>
      </pivotArea>
    </chartFormat>
    <chartFormat chart="3" format="11537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17"/>
          </reference>
          <reference field="15" count="1" selected="0">
            <x v="3"/>
          </reference>
        </references>
      </pivotArea>
    </chartFormat>
    <chartFormat chart="3" format="11538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18"/>
          </reference>
          <reference field="15" count="1" selected="0">
            <x v="3"/>
          </reference>
        </references>
      </pivotArea>
    </chartFormat>
    <chartFormat chart="3" format="11539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18"/>
          </reference>
          <reference field="15" count="1" selected="0">
            <x v="3"/>
          </reference>
        </references>
      </pivotArea>
    </chartFormat>
    <chartFormat chart="3" format="11540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18"/>
          </reference>
          <reference field="15" count="1" selected="0">
            <x v="3"/>
          </reference>
        </references>
      </pivotArea>
    </chartFormat>
    <chartFormat chart="3" format="11541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18"/>
          </reference>
          <reference field="15" count="1" selected="0">
            <x v="3"/>
          </reference>
        </references>
      </pivotArea>
    </chartFormat>
    <chartFormat chart="3" format="11542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18"/>
          </reference>
          <reference field="15" count="1" selected="0">
            <x v="3"/>
          </reference>
        </references>
      </pivotArea>
    </chartFormat>
    <chartFormat chart="3" format="11543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18"/>
          </reference>
          <reference field="15" count="1" selected="0">
            <x v="3"/>
          </reference>
        </references>
      </pivotArea>
    </chartFormat>
    <chartFormat chart="3" format="11544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19"/>
          </reference>
          <reference field="15" count="1" selected="0">
            <x v="4"/>
          </reference>
        </references>
      </pivotArea>
    </chartFormat>
    <chartFormat chart="3" format="11545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19"/>
          </reference>
          <reference field="15" count="1" selected="0">
            <x v="4"/>
          </reference>
        </references>
      </pivotArea>
    </chartFormat>
    <chartFormat chart="3" format="11546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19"/>
          </reference>
          <reference field="15" count="1" selected="0">
            <x v="4"/>
          </reference>
        </references>
      </pivotArea>
    </chartFormat>
    <chartFormat chart="3" format="11547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19"/>
          </reference>
          <reference field="15" count="1" selected="0">
            <x v="4"/>
          </reference>
        </references>
      </pivotArea>
    </chartFormat>
    <chartFormat chart="3" format="11548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19"/>
          </reference>
          <reference field="15" count="1" selected="0">
            <x v="4"/>
          </reference>
        </references>
      </pivotArea>
    </chartFormat>
    <chartFormat chart="3" format="11549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20"/>
          </reference>
          <reference field="15" count="1" selected="0">
            <x v="4"/>
          </reference>
        </references>
      </pivotArea>
    </chartFormat>
    <chartFormat chart="3" format="11550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20"/>
          </reference>
          <reference field="15" count="1" selected="0">
            <x v="4"/>
          </reference>
        </references>
      </pivotArea>
    </chartFormat>
    <chartFormat chart="3" format="11551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20"/>
          </reference>
          <reference field="15" count="1" selected="0">
            <x v="4"/>
          </reference>
        </references>
      </pivotArea>
    </chartFormat>
    <chartFormat chart="3" format="11552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20"/>
          </reference>
          <reference field="15" count="1" selected="0">
            <x v="4"/>
          </reference>
        </references>
      </pivotArea>
    </chartFormat>
    <chartFormat chart="3" format="11553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20"/>
          </reference>
          <reference field="15" count="1" selected="0">
            <x v="4"/>
          </reference>
        </references>
      </pivotArea>
    </chartFormat>
    <chartFormat chart="3" format="11554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21"/>
          </reference>
          <reference field="15" count="1" selected="0">
            <x v="4"/>
          </reference>
        </references>
      </pivotArea>
    </chartFormat>
    <chartFormat chart="3" format="11555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21"/>
          </reference>
          <reference field="15" count="1" selected="0">
            <x v="4"/>
          </reference>
        </references>
      </pivotArea>
    </chartFormat>
    <chartFormat chart="3" format="11556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21"/>
          </reference>
          <reference field="15" count="1" selected="0">
            <x v="4"/>
          </reference>
        </references>
      </pivotArea>
    </chartFormat>
    <chartFormat chart="3" format="11557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21"/>
          </reference>
          <reference field="15" count="1" selected="0">
            <x v="4"/>
          </reference>
        </references>
      </pivotArea>
    </chartFormat>
    <chartFormat chart="3" format="11558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21"/>
          </reference>
          <reference field="15" count="1" selected="0">
            <x v="4"/>
          </reference>
        </references>
      </pivotArea>
    </chartFormat>
    <chartFormat chart="3" format="11559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22"/>
          </reference>
          <reference field="15" count="1" selected="0">
            <x v="4"/>
          </reference>
        </references>
      </pivotArea>
    </chartFormat>
    <chartFormat chart="3" format="11560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22"/>
          </reference>
          <reference field="15" count="1" selected="0">
            <x v="4"/>
          </reference>
        </references>
      </pivotArea>
    </chartFormat>
    <chartFormat chart="3" format="11561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22"/>
          </reference>
          <reference field="15" count="1" selected="0">
            <x v="4"/>
          </reference>
        </references>
      </pivotArea>
    </chartFormat>
    <chartFormat chart="3" format="11562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22"/>
          </reference>
          <reference field="15" count="1" selected="0">
            <x v="4"/>
          </reference>
        </references>
      </pivotArea>
    </chartFormat>
    <chartFormat chart="3" format="11563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22"/>
          </reference>
          <reference field="15" count="1" selected="0">
            <x v="4"/>
          </reference>
        </references>
      </pivotArea>
    </chartFormat>
    <chartFormat chart="3" format="11564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23"/>
          </reference>
          <reference field="15" count="1" selected="0">
            <x v="4"/>
          </reference>
        </references>
      </pivotArea>
    </chartFormat>
    <chartFormat chart="3" format="11565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23"/>
          </reference>
          <reference field="15" count="1" selected="0">
            <x v="4"/>
          </reference>
        </references>
      </pivotArea>
    </chartFormat>
    <chartFormat chart="3" format="11566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23"/>
          </reference>
          <reference field="15" count="1" selected="0">
            <x v="4"/>
          </reference>
        </references>
      </pivotArea>
    </chartFormat>
    <chartFormat chart="3" format="11567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23"/>
          </reference>
          <reference field="15" count="1" selected="0">
            <x v="4"/>
          </reference>
        </references>
      </pivotArea>
    </chartFormat>
    <chartFormat chart="3" format="11568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23"/>
          </reference>
          <reference field="15" count="1" selected="0">
            <x v="4"/>
          </reference>
        </references>
      </pivotArea>
    </chartFormat>
    <chartFormat chart="3" format="11569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24"/>
          </reference>
          <reference field="15" count="1" selected="0">
            <x v="4"/>
          </reference>
        </references>
      </pivotArea>
    </chartFormat>
    <chartFormat chart="3" format="11570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24"/>
          </reference>
          <reference field="15" count="1" selected="0">
            <x v="4"/>
          </reference>
        </references>
      </pivotArea>
    </chartFormat>
    <chartFormat chart="3" format="11571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24"/>
          </reference>
          <reference field="15" count="1" selected="0">
            <x v="4"/>
          </reference>
        </references>
      </pivotArea>
    </chartFormat>
    <chartFormat chart="3" format="11572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24"/>
          </reference>
          <reference field="15" count="1" selected="0">
            <x v="4"/>
          </reference>
        </references>
      </pivotArea>
    </chartFormat>
    <chartFormat chart="3" format="11573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24"/>
          </reference>
          <reference field="15" count="1" selected="0">
            <x v="4"/>
          </reference>
        </references>
      </pivotArea>
    </chartFormat>
    <chartFormat chart="3" format="11574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25"/>
          </reference>
          <reference field="15" count="1" selected="0">
            <x v="4"/>
          </reference>
        </references>
      </pivotArea>
    </chartFormat>
    <chartFormat chart="3" format="11575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25"/>
          </reference>
          <reference field="15" count="1" selected="0">
            <x v="4"/>
          </reference>
        </references>
      </pivotArea>
    </chartFormat>
    <chartFormat chart="3" format="11576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25"/>
          </reference>
          <reference field="15" count="1" selected="0">
            <x v="4"/>
          </reference>
        </references>
      </pivotArea>
    </chartFormat>
    <chartFormat chart="3" format="11577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25"/>
          </reference>
          <reference field="15" count="1" selected="0">
            <x v="4"/>
          </reference>
        </references>
      </pivotArea>
    </chartFormat>
    <chartFormat chart="3" format="11578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25"/>
          </reference>
          <reference field="15" count="1" selected="0">
            <x v="4"/>
          </reference>
        </references>
      </pivotArea>
    </chartFormat>
    <chartFormat chart="3" format="11579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26"/>
          </reference>
          <reference field="15" count="1" selected="0">
            <x v="4"/>
          </reference>
        </references>
      </pivotArea>
    </chartFormat>
    <chartFormat chart="3" format="11580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26"/>
          </reference>
          <reference field="15" count="1" selected="0">
            <x v="4"/>
          </reference>
        </references>
      </pivotArea>
    </chartFormat>
    <chartFormat chart="3" format="11581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26"/>
          </reference>
          <reference field="15" count="1" selected="0">
            <x v="4"/>
          </reference>
        </references>
      </pivotArea>
    </chartFormat>
    <chartFormat chart="3" format="11582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26"/>
          </reference>
          <reference field="15" count="1" selected="0">
            <x v="4"/>
          </reference>
        </references>
      </pivotArea>
    </chartFormat>
    <chartFormat chart="3" format="11583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26"/>
          </reference>
          <reference field="15" count="1" selected="0">
            <x v="4"/>
          </reference>
        </references>
      </pivotArea>
    </chartFormat>
    <chartFormat chart="3" format="11584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27"/>
          </reference>
          <reference field="15" count="1" selected="0">
            <x v="4"/>
          </reference>
        </references>
      </pivotArea>
    </chartFormat>
    <chartFormat chart="3" format="11585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27"/>
          </reference>
          <reference field="15" count="1" selected="0">
            <x v="4"/>
          </reference>
        </references>
      </pivotArea>
    </chartFormat>
    <chartFormat chart="3" format="11586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27"/>
          </reference>
          <reference field="15" count="1" selected="0">
            <x v="4"/>
          </reference>
        </references>
      </pivotArea>
    </chartFormat>
    <chartFormat chart="3" format="11587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27"/>
          </reference>
          <reference field="15" count="1" selected="0">
            <x v="4"/>
          </reference>
        </references>
      </pivotArea>
    </chartFormat>
    <chartFormat chart="3" format="11588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27"/>
          </reference>
          <reference field="15" count="1" selected="0">
            <x v="4"/>
          </reference>
        </references>
      </pivotArea>
    </chartFormat>
    <chartFormat chart="3" format="11589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28"/>
          </reference>
          <reference field="15" count="1" selected="0">
            <x v="4"/>
          </reference>
        </references>
      </pivotArea>
    </chartFormat>
    <chartFormat chart="3" format="11590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28"/>
          </reference>
          <reference field="15" count="1" selected="0">
            <x v="4"/>
          </reference>
        </references>
      </pivotArea>
    </chartFormat>
    <chartFormat chart="3" format="11591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28"/>
          </reference>
          <reference field="15" count="1" selected="0">
            <x v="4"/>
          </reference>
        </references>
      </pivotArea>
    </chartFormat>
    <chartFormat chart="3" format="11592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28"/>
          </reference>
          <reference field="15" count="1" selected="0">
            <x v="4"/>
          </reference>
        </references>
      </pivotArea>
    </chartFormat>
    <chartFormat chart="3" format="11593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28"/>
          </reference>
          <reference field="15" count="1" selected="0">
            <x v="4"/>
          </reference>
        </references>
      </pivotArea>
    </chartFormat>
    <chartFormat chart="3" format="11594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29"/>
          </reference>
          <reference field="15" count="1" selected="0">
            <x v="4"/>
          </reference>
        </references>
      </pivotArea>
    </chartFormat>
    <chartFormat chart="3" format="11595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29"/>
          </reference>
          <reference field="15" count="1" selected="0">
            <x v="4"/>
          </reference>
        </references>
      </pivotArea>
    </chartFormat>
    <chartFormat chart="3" format="11596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29"/>
          </reference>
          <reference field="15" count="1" selected="0">
            <x v="4"/>
          </reference>
        </references>
      </pivotArea>
    </chartFormat>
    <chartFormat chart="3" format="11597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29"/>
          </reference>
          <reference field="15" count="1" selected="0">
            <x v="4"/>
          </reference>
        </references>
      </pivotArea>
    </chartFormat>
    <chartFormat chart="3" format="11598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29"/>
          </reference>
          <reference field="15" count="1" selected="0">
            <x v="4"/>
          </reference>
        </references>
      </pivotArea>
    </chartFormat>
    <chartFormat chart="3" format="11599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30"/>
          </reference>
          <reference field="15" count="1" selected="0">
            <x v="4"/>
          </reference>
        </references>
      </pivotArea>
    </chartFormat>
    <chartFormat chart="3" format="11600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30"/>
          </reference>
          <reference field="15" count="1" selected="0">
            <x v="4"/>
          </reference>
        </references>
      </pivotArea>
    </chartFormat>
    <chartFormat chart="3" format="11601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30"/>
          </reference>
          <reference field="15" count="1" selected="0">
            <x v="4"/>
          </reference>
        </references>
      </pivotArea>
    </chartFormat>
    <chartFormat chart="3" format="11602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30"/>
          </reference>
          <reference field="15" count="1" selected="0">
            <x v="4"/>
          </reference>
        </references>
      </pivotArea>
    </chartFormat>
    <chartFormat chart="3" format="11603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30"/>
          </reference>
          <reference field="15" count="1" selected="0">
            <x v="4"/>
          </reference>
        </references>
      </pivotArea>
    </chartFormat>
    <chartFormat chart="3" format="11604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31"/>
          </reference>
          <reference field="15" count="1" selected="0">
            <x v="4"/>
          </reference>
        </references>
      </pivotArea>
    </chartFormat>
    <chartFormat chart="3" format="11605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31"/>
          </reference>
          <reference field="15" count="1" selected="0">
            <x v="4"/>
          </reference>
        </references>
      </pivotArea>
    </chartFormat>
    <chartFormat chart="3" format="11606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31"/>
          </reference>
          <reference field="15" count="1" selected="0">
            <x v="4"/>
          </reference>
        </references>
      </pivotArea>
    </chartFormat>
    <chartFormat chart="3" format="11607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31"/>
          </reference>
          <reference field="15" count="1" selected="0">
            <x v="4"/>
          </reference>
        </references>
      </pivotArea>
    </chartFormat>
    <chartFormat chart="3" format="11608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31"/>
          </reference>
          <reference field="15" count="1" selected="0">
            <x v="4"/>
          </reference>
        </references>
      </pivotArea>
    </chartFormat>
    <chartFormat chart="3" format="11609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32"/>
          </reference>
          <reference field="15" count="1" selected="0">
            <x v="5"/>
          </reference>
        </references>
      </pivotArea>
    </chartFormat>
    <chartFormat chart="3" format="11610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32"/>
          </reference>
          <reference field="15" count="1" selected="0">
            <x v="5"/>
          </reference>
        </references>
      </pivotArea>
    </chartFormat>
    <chartFormat chart="3" format="11611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32"/>
          </reference>
          <reference field="15" count="1" selected="0">
            <x v="5"/>
          </reference>
        </references>
      </pivotArea>
    </chartFormat>
    <chartFormat chart="3" format="11612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32"/>
          </reference>
          <reference field="15" count="1" selected="0">
            <x v="5"/>
          </reference>
        </references>
      </pivotArea>
    </chartFormat>
    <chartFormat chart="3" format="11613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32"/>
          </reference>
          <reference field="15" count="1" selected="0">
            <x v="5"/>
          </reference>
        </references>
      </pivotArea>
    </chartFormat>
    <chartFormat chart="3" format="11614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33"/>
          </reference>
          <reference field="15" count="1" selected="0">
            <x v="5"/>
          </reference>
        </references>
      </pivotArea>
    </chartFormat>
    <chartFormat chart="3" format="11615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33"/>
          </reference>
          <reference field="15" count="1" selected="0">
            <x v="5"/>
          </reference>
        </references>
      </pivotArea>
    </chartFormat>
    <chartFormat chart="3" format="11616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33"/>
          </reference>
          <reference field="15" count="1" selected="0">
            <x v="5"/>
          </reference>
        </references>
      </pivotArea>
    </chartFormat>
    <chartFormat chart="3" format="11617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33"/>
          </reference>
          <reference field="15" count="1" selected="0">
            <x v="5"/>
          </reference>
        </references>
      </pivotArea>
    </chartFormat>
    <chartFormat chart="3" format="11618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33"/>
          </reference>
          <reference field="15" count="1" selected="0">
            <x v="5"/>
          </reference>
        </references>
      </pivotArea>
    </chartFormat>
    <chartFormat chart="3" format="11619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34"/>
          </reference>
          <reference field="15" count="1" selected="0">
            <x v="5"/>
          </reference>
        </references>
      </pivotArea>
    </chartFormat>
    <chartFormat chart="3" format="11620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34"/>
          </reference>
          <reference field="15" count="1" selected="0">
            <x v="5"/>
          </reference>
        </references>
      </pivotArea>
    </chartFormat>
    <chartFormat chart="3" format="11621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34"/>
          </reference>
          <reference field="15" count="1" selected="0">
            <x v="5"/>
          </reference>
        </references>
      </pivotArea>
    </chartFormat>
    <chartFormat chart="3" format="11622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34"/>
          </reference>
          <reference field="15" count="1" selected="0">
            <x v="5"/>
          </reference>
        </references>
      </pivotArea>
    </chartFormat>
    <chartFormat chart="3" format="11623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34"/>
          </reference>
          <reference field="15" count="1" selected="0">
            <x v="5"/>
          </reference>
        </references>
      </pivotArea>
    </chartFormat>
    <chartFormat chart="3" format="11624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35"/>
          </reference>
          <reference field="15" count="1" selected="0">
            <x v="5"/>
          </reference>
        </references>
      </pivotArea>
    </chartFormat>
    <chartFormat chart="3" format="11625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35"/>
          </reference>
          <reference field="15" count="1" selected="0">
            <x v="5"/>
          </reference>
        </references>
      </pivotArea>
    </chartFormat>
    <chartFormat chart="3" format="11626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35"/>
          </reference>
          <reference field="15" count="1" selected="0">
            <x v="5"/>
          </reference>
        </references>
      </pivotArea>
    </chartFormat>
    <chartFormat chart="3" format="11627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35"/>
          </reference>
          <reference field="15" count="1" selected="0">
            <x v="5"/>
          </reference>
        </references>
      </pivotArea>
    </chartFormat>
    <chartFormat chart="3" format="11628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35"/>
          </reference>
          <reference field="15" count="1" selected="0">
            <x v="5"/>
          </reference>
        </references>
      </pivotArea>
    </chartFormat>
    <chartFormat chart="3" format="11629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36"/>
          </reference>
          <reference field="15" count="1" selected="0">
            <x v="5"/>
          </reference>
        </references>
      </pivotArea>
    </chartFormat>
    <chartFormat chart="3" format="11630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36"/>
          </reference>
          <reference field="15" count="1" selected="0">
            <x v="5"/>
          </reference>
        </references>
      </pivotArea>
    </chartFormat>
    <chartFormat chart="3" format="11631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36"/>
          </reference>
          <reference field="15" count="1" selected="0">
            <x v="5"/>
          </reference>
        </references>
      </pivotArea>
    </chartFormat>
    <chartFormat chart="3" format="11632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36"/>
          </reference>
          <reference field="15" count="1" selected="0">
            <x v="5"/>
          </reference>
        </references>
      </pivotArea>
    </chartFormat>
    <chartFormat chart="3" format="11633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36"/>
          </reference>
          <reference field="15" count="1" selected="0">
            <x v="5"/>
          </reference>
        </references>
      </pivotArea>
    </chartFormat>
    <chartFormat chart="3" format="11634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37"/>
          </reference>
          <reference field="15" count="1" selected="0">
            <x v="5"/>
          </reference>
        </references>
      </pivotArea>
    </chartFormat>
    <chartFormat chart="3" format="11635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37"/>
          </reference>
          <reference field="15" count="1" selected="0">
            <x v="5"/>
          </reference>
        </references>
      </pivotArea>
    </chartFormat>
    <chartFormat chart="3" format="11636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37"/>
          </reference>
          <reference field="15" count="1" selected="0">
            <x v="5"/>
          </reference>
        </references>
      </pivotArea>
    </chartFormat>
    <chartFormat chart="3" format="11637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37"/>
          </reference>
          <reference field="15" count="1" selected="0">
            <x v="5"/>
          </reference>
        </references>
      </pivotArea>
    </chartFormat>
    <chartFormat chart="3" format="11638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37"/>
          </reference>
          <reference field="15" count="1" selected="0">
            <x v="5"/>
          </reference>
        </references>
      </pivotArea>
    </chartFormat>
    <chartFormat chart="3" format="11639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38"/>
          </reference>
          <reference field="15" count="1" selected="0">
            <x v="5"/>
          </reference>
        </references>
      </pivotArea>
    </chartFormat>
    <chartFormat chart="3" format="11640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38"/>
          </reference>
          <reference field="15" count="1" selected="0">
            <x v="5"/>
          </reference>
        </references>
      </pivotArea>
    </chartFormat>
    <chartFormat chart="3" format="11641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38"/>
          </reference>
          <reference field="15" count="1" selected="0">
            <x v="5"/>
          </reference>
        </references>
      </pivotArea>
    </chartFormat>
    <chartFormat chart="3" format="11642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38"/>
          </reference>
          <reference field="15" count="1" selected="0">
            <x v="5"/>
          </reference>
        </references>
      </pivotArea>
    </chartFormat>
    <chartFormat chart="3" format="11643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38"/>
          </reference>
          <reference field="15" count="1" selected="0">
            <x v="5"/>
          </reference>
        </references>
      </pivotArea>
    </chartFormat>
    <chartFormat chart="3" format="11644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39"/>
          </reference>
          <reference field="15" count="1" selected="0">
            <x v="5"/>
          </reference>
        </references>
      </pivotArea>
    </chartFormat>
    <chartFormat chart="3" format="11645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39"/>
          </reference>
          <reference field="15" count="1" selected="0">
            <x v="5"/>
          </reference>
        </references>
      </pivotArea>
    </chartFormat>
    <chartFormat chart="3" format="11646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39"/>
          </reference>
          <reference field="15" count="1" selected="0">
            <x v="5"/>
          </reference>
        </references>
      </pivotArea>
    </chartFormat>
    <chartFormat chart="3" format="11647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39"/>
          </reference>
          <reference field="15" count="1" selected="0">
            <x v="5"/>
          </reference>
        </references>
      </pivotArea>
    </chartFormat>
    <chartFormat chart="3" format="11648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39"/>
          </reference>
          <reference field="15" count="1" selected="0">
            <x v="5"/>
          </reference>
        </references>
      </pivotArea>
    </chartFormat>
    <chartFormat chart="3" format="11649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40"/>
          </reference>
          <reference field="15" count="1" selected="0">
            <x v="5"/>
          </reference>
        </references>
      </pivotArea>
    </chartFormat>
    <chartFormat chart="3" format="11650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40"/>
          </reference>
          <reference field="15" count="1" selected="0">
            <x v="5"/>
          </reference>
        </references>
      </pivotArea>
    </chartFormat>
    <chartFormat chart="3" format="11651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40"/>
          </reference>
          <reference field="15" count="1" selected="0">
            <x v="5"/>
          </reference>
        </references>
      </pivotArea>
    </chartFormat>
    <chartFormat chart="3" format="11652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40"/>
          </reference>
          <reference field="15" count="1" selected="0">
            <x v="5"/>
          </reference>
        </references>
      </pivotArea>
    </chartFormat>
    <chartFormat chart="3" format="11653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40"/>
          </reference>
          <reference field="15" count="1" selected="0">
            <x v="5"/>
          </reference>
        </references>
      </pivotArea>
    </chartFormat>
    <chartFormat chart="3" format="11654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41"/>
          </reference>
          <reference field="15" count="1" selected="0">
            <x v="5"/>
          </reference>
        </references>
      </pivotArea>
    </chartFormat>
    <chartFormat chart="3" format="11655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41"/>
          </reference>
          <reference field="15" count="1" selected="0">
            <x v="5"/>
          </reference>
        </references>
      </pivotArea>
    </chartFormat>
    <chartFormat chart="3" format="11656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41"/>
          </reference>
          <reference field="15" count="1" selected="0">
            <x v="5"/>
          </reference>
        </references>
      </pivotArea>
    </chartFormat>
    <chartFormat chart="3" format="11657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41"/>
          </reference>
          <reference field="15" count="1" selected="0">
            <x v="5"/>
          </reference>
        </references>
      </pivotArea>
    </chartFormat>
    <chartFormat chart="3" format="11658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41"/>
          </reference>
          <reference field="15" count="1" selected="0">
            <x v="5"/>
          </reference>
        </references>
      </pivotArea>
    </chartFormat>
    <chartFormat chart="3" format="11659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42"/>
          </reference>
          <reference field="15" count="1" selected="0">
            <x v="5"/>
          </reference>
        </references>
      </pivotArea>
    </chartFormat>
    <chartFormat chart="3" format="11660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42"/>
          </reference>
          <reference field="15" count="1" selected="0">
            <x v="5"/>
          </reference>
        </references>
      </pivotArea>
    </chartFormat>
    <chartFormat chart="3" format="11661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42"/>
          </reference>
          <reference field="15" count="1" selected="0">
            <x v="5"/>
          </reference>
        </references>
      </pivotArea>
    </chartFormat>
    <chartFormat chart="3" format="11662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42"/>
          </reference>
          <reference field="15" count="1" selected="0">
            <x v="5"/>
          </reference>
        </references>
      </pivotArea>
    </chartFormat>
    <chartFormat chart="3" format="11663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42"/>
          </reference>
          <reference field="15" count="1" selected="0">
            <x v="5"/>
          </reference>
        </references>
      </pivotArea>
    </chartFormat>
    <chartFormat chart="3" format="11664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43"/>
          </reference>
          <reference field="15" count="1" selected="0">
            <x v="5"/>
          </reference>
        </references>
      </pivotArea>
    </chartFormat>
    <chartFormat chart="3" format="11665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43"/>
          </reference>
          <reference field="15" count="1" selected="0">
            <x v="5"/>
          </reference>
        </references>
      </pivotArea>
    </chartFormat>
    <chartFormat chart="3" format="11666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43"/>
          </reference>
          <reference field="15" count="1" selected="0">
            <x v="5"/>
          </reference>
        </references>
      </pivotArea>
    </chartFormat>
    <chartFormat chart="3" format="11667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43"/>
          </reference>
          <reference field="15" count="1" selected="0">
            <x v="5"/>
          </reference>
        </references>
      </pivotArea>
    </chartFormat>
    <chartFormat chart="3" format="11668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43"/>
          </reference>
          <reference field="15" count="1" selected="0">
            <x v="5"/>
          </reference>
        </references>
      </pivotArea>
    </chartFormat>
    <chartFormat chart="3" format="11669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44"/>
          </reference>
          <reference field="15" count="1" selected="0">
            <x v="6"/>
          </reference>
        </references>
      </pivotArea>
    </chartFormat>
    <chartFormat chart="3" format="11670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45"/>
          </reference>
          <reference field="15" count="1" selected="0">
            <x v="6"/>
          </reference>
        </references>
      </pivotArea>
    </chartFormat>
    <chartFormat chart="3" format="11671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46"/>
          </reference>
          <reference field="15" count="1" selected="0">
            <x v="6"/>
          </reference>
        </references>
      </pivotArea>
    </chartFormat>
    <chartFormat chart="3" format="11672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47"/>
          </reference>
          <reference field="15" count="1" selected="0">
            <x v="6"/>
          </reference>
        </references>
      </pivotArea>
    </chartFormat>
    <chartFormat chart="3" format="11673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48"/>
          </reference>
          <reference field="15" count="1" selected="0">
            <x v="6"/>
          </reference>
        </references>
      </pivotArea>
    </chartFormat>
    <chartFormat chart="3" format="11674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49"/>
          </reference>
          <reference field="15" count="1" selected="0">
            <x v="6"/>
          </reference>
        </references>
      </pivotArea>
    </chartFormat>
    <chartFormat chart="5" format="10579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44"/>
          </reference>
          <reference field="15" count="1" selected="0">
            <x v="6"/>
          </reference>
        </references>
      </pivotArea>
    </chartFormat>
    <chartFormat chart="5" format="10580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45"/>
          </reference>
          <reference field="15" count="1" selected="0">
            <x v="6"/>
          </reference>
        </references>
      </pivotArea>
    </chartFormat>
    <chartFormat chart="5" format="10581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46"/>
          </reference>
          <reference field="15" count="1" selected="0">
            <x v="6"/>
          </reference>
        </references>
      </pivotArea>
    </chartFormat>
    <chartFormat chart="5" format="10582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47"/>
          </reference>
          <reference field="15" count="1" selected="0">
            <x v="6"/>
          </reference>
        </references>
      </pivotArea>
    </chartFormat>
    <chartFormat chart="5" format="10583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48"/>
          </reference>
          <reference field="15" count="1" selected="0">
            <x v="6"/>
          </reference>
        </references>
      </pivotArea>
    </chartFormat>
    <chartFormat chart="5" format="10584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149"/>
          </reference>
          <reference field="15" count="1" selected="0">
            <x v="6"/>
          </reference>
        </references>
      </pivotArea>
    </chartFormat>
    <chartFormat chart="5" format="10585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44"/>
          </reference>
          <reference field="15" count="1" selected="0">
            <x v="6"/>
          </reference>
        </references>
      </pivotArea>
    </chartFormat>
    <chartFormat chart="5" format="10586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44"/>
          </reference>
          <reference field="15" count="1" selected="0">
            <x v="6"/>
          </reference>
        </references>
      </pivotArea>
    </chartFormat>
    <chartFormat chart="5" format="10587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44"/>
          </reference>
          <reference field="15" count="1" selected="0">
            <x v="6"/>
          </reference>
        </references>
      </pivotArea>
    </chartFormat>
    <chartFormat chart="5" format="10588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44"/>
          </reference>
          <reference field="15" count="1" selected="0">
            <x v="6"/>
          </reference>
        </references>
      </pivotArea>
    </chartFormat>
    <chartFormat chart="5" format="10589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44"/>
          </reference>
          <reference field="15" count="1" selected="0">
            <x v="6"/>
          </reference>
        </references>
      </pivotArea>
    </chartFormat>
    <chartFormat chart="5" format="10590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45"/>
          </reference>
          <reference field="15" count="1" selected="0">
            <x v="6"/>
          </reference>
        </references>
      </pivotArea>
    </chartFormat>
    <chartFormat chart="5" format="10591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45"/>
          </reference>
          <reference field="15" count="1" selected="0">
            <x v="6"/>
          </reference>
        </references>
      </pivotArea>
    </chartFormat>
    <chartFormat chart="5" format="10592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45"/>
          </reference>
          <reference field="15" count="1" selected="0">
            <x v="6"/>
          </reference>
        </references>
      </pivotArea>
    </chartFormat>
    <chartFormat chart="5" format="10593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45"/>
          </reference>
          <reference field="15" count="1" selected="0">
            <x v="6"/>
          </reference>
        </references>
      </pivotArea>
    </chartFormat>
    <chartFormat chart="5" format="10594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45"/>
          </reference>
          <reference field="15" count="1" selected="0">
            <x v="6"/>
          </reference>
        </references>
      </pivotArea>
    </chartFormat>
    <chartFormat chart="5" format="10595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46"/>
          </reference>
          <reference field="15" count="1" selected="0">
            <x v="6"/>
          </reference>
        </references>
      </pivotArea>
    </chartFormat>
    <chartFormat chart="5" format="10596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46"/>
          </reference>
          <reference field="15" count="1" selected="0">
            <x v="6"/>
          </reference>
        </references>
      </pivotArea>
    </chartFormat>
    <chartFormat chart="5" format="10597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46"/>
          </reference>
          <reference field="15" count="1" selected="0">
            <x v="6"/>
          </reference>
        </references>
      </pivotArea>
    </chartFormat>
    <chartFormat chart="5" format="10598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46"/>
          </reference>
          <reference field="15" count="1" selected="0">
            <x v="6"/>
          </reference>
        </references>
      </pivotArea>
    </chartFormat>
    <chartFormat chart="5" format="10599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46"/>
          </reference>
          <reference field="15" count="1" selected="0">
            <x v="6"/>
          </reference>
        </references>
      </pivotArea>
    </chartFormat>
    <chartFormat chart="5" format="10600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47"/>
          </reference>
          <reference field="15" count="1" selected="0">
            <x v="6"/>
          </reference>
        </references>
      </pivotArea>
    </chartFormat>
    <chartFormat chart="5" format="10601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47"/>
          </reference>
          <reference field="15" count="1" selected="0">
            <x v="6"/>
          </reference>
        </references>
      </pivotArea>
    </chartFormat>
    <chartFormat chart="5" format="10602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47"/>
          </reference>
          <reference field="15" count="1" selected="0">
            <x v="6"/>
          </reference>
        </references>
      </pivotArea>
    </chartFormat>
    <chartFormat chart="5" format="10603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47"/>
          </reference>
          <reference field="15" count="1" selected="0">
            <x v="6"/>
          </reference>
        </references>
      </pivotArea>
    </chartFormat>
    <chartFormat chart="5" format="10604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47"/>
          </reference>
          <reference field="15" count="1" selected="0">
            <x v="6"/>
          </reference>
        </references>
      </pivotArea>
    </chartFormat>
    <chartFormat chart="5" format="10605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48"/>
          </reference>
          <reference field="15" count="1" selected="0">
            <x v="6"/>
          </reference>
        </references>
      </pivotArea>
    </chartFormat>
    <chartFormat chart="5" format="10606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48"/>
          </reference>
          <reference field="15" count="1" selected="0">
            <x v="6"/>
          </reference>
        </references>
      </pivotArea>
    </chartFormat>
    <chartFormat chart="5" format="10607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48"/>
          </reference>
          <reference field="15" count="1" selected="0">
            <x v="6"/>
          </reference>
        </references>
      </pivotArea>
    </chartFormat>
    <chartFormat chart="5" format="10608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48"/>
          </reference>
          <reference field="15" count="1" selected="0">
            <x v="6"/>
          </reference>
        </references>
      </pivotArea>
    </chartFormat>
    <chartFormat chart="5" format="10609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48"/>
          </reference>
          <reference field="15" count="1" selected="0">
            <x v="6"/>
          </reference>
        </references>
      </pivotArea>
    </chartFormat>
    <chartFormat chart="5" format="10610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49"/>
          </reference>
          <reference field="15" count="1" selected="0">
            <x v="6"/>
          </reference>
        </references>
      </pivotArea>
    </chartFormat>
    <chartFormat chart="5" format="10611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49"/>
          </reference>
          <reference field="15" count="1" selected="0">
            <x v="6"/>
          </reference>
        </references>
      </pivotArea>
    </chartFormat>
    <chartFormat chart="5" format="10612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49"/>
          </reference>
          <reference field="15" count="1" selected="0">
            <x v="6"/>
          </reference>
        </references>
      </pivotArea>
    </chartFormat>
    <chartFormat chart="5" format="10613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49"/>
          </reference>
          <reference field="15" count="1" selected="0">
            <x v="6"/>
          </reference>
        </references>
      </pivotArea>
    </chartFormat>
    <chartFormat chart="5" format="10614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49"/>
          </reference>
          <reference field="15" count="1" selected="0">
            <x v="6"/>
          </reference>
        </references>
      </pivotArea>
    </chartFormat>
    <chartFormat chart="3" format="11675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44"/>
          </reference>
          <reference field="15" count="1" selected="0">
            <x v="6"/>
          </reference>
        </references>
      </pivotArea>
    </chartFormat>
    <chartFormat chart="3" format="11676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44"/>
          </reference>
          <reference field="15" count="1" selected="0">
            <x v="6"/>
          </reference>
        </references>
      </pivotArea>
    </chartFormat>
    <chartFormat chart="3" format="11677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44"/>
          </reference>
          <reference field="15" count="1" selected="0">
            <x v="6"/>
          </reference>
        </references>
      </pivotArea>
    </chartFormat>
    <chartFormat chart="3" format="11678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44"/>
          </reference>
          <reference field="15" count="1" selected="0">
            <x v="6"/>
          </reference>
        </references>
      </pivotArea>
    </chartFormat>
    <chartFormat chart="3" format="11679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44"/>
          </reference>
          <reference field="15" count="1" selected="0">
            <x v="6"/>
          </reference>
        </references>
      </pivotArea>
    </chartFormat>
    <chartFormat chart="3" format="11680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45"/>
          </reference>
          <reference field="15" count="1" selected="0">
            <x v="6"/>
          </reference>
        </references>
      </pivotArea>
    </chartFormat>
    <chartFormat chart="3" format="11681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45"/>
          </reference>
          <reference field="15" count="1" selected="0">
            <x v="6"/>
          </reference>
        </references>
      </pivotArea>
    </chartFormat>
    <chartFormat chart="3" format="11682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45"/>
          </reference>
          <reference field="15" count="1" selected="0">
            <x v="6"/>
          </reference>
        </references>
      </pivotArea>
    </chartFormat>
    <chartFormat chart="3" format="11683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45"/>
          </reference>
          <reference field="15" count="1" selected="0">
            <x v="6"/>
          </reference>
        </references>
      </pivotArea>
    </chartFormat>
    <chartFormat chart="3" format="11684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45"/>
          </reference>
          <reference field="15" count="1" selected="0">
            <x v="6"/>
          </reference>
        </references>
      </pivotArea>
    </chartFormat>
    <chartFormat chart="3" format="11685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46"/>
          </reference>
          <reference field="15" count="1" selected="0">
            <x v="6"/>
          </reference>
        </references>
      </pivotArea>
    </chartFormat>
    <chartFormat chart="3" format="11686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46"/>
          </reference>
          <reference field="15" count="1" selected="0">
            <x v="6"/>
          </reference>
        </references>
      </pivotArea>
    </chartFormat>
    <chartFormat chart="3" format="11687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46"/>
          </reference>
          <reference field="15" count="1" selected="0">
            <x v="6"/>
          </reference>
        </references>
      </pivotArea>
    </chartFormat>
    <chartFormat chart="3" format="11688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46"/>
          </reference>
          <reference field="15" count="1" selected="0">
            <x v="6"/>
          </reference>
        </references>
      </pivotArea>
    </chartFormat>
    <chartFormat chart="3" format="11689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46"/>
          </reference>
          <reference field="15" count="1" selected="0">
            <x v="6"/>
          </reference>
        </references>
      </pivotArea>
    </chartFormat>
    <chartFormat chart="3" format="11690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47"/>
          </reference>
          <reference field="15" count="1" selected="0">
            <x v="6"/>
          </reference>
        </references>
      </pivotArea>
    </chartFormat>
    <chartFormat chart="3" format="11691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47"/>
          </reference>
          <reference field="15" count="1" selected="0">
            <x v="6"/>
          </reference>
        </references>
      </pivotArea>
    </chartFormat>
    <chartFormat chart="3" format="11692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47"/>
          </reference>
          <reference field="15" count="1" selected="0">
            <x v="6"/>
          </reference>
        </references>
      </pivotArea>
    </chartFormat>
    <chartFormat chart="3" format="11693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47"/>
          </reference>
          <reference field="15" count="1" selected="0">
            <x v="6"/>
          </reference>
        </references>
      </pivotArea>
    </chartFormat>
    <chartFormat chart="3" format="11694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47"/>
          </reference>
          <reference field="15" count="1" selected="0">
            <x v="6"/>
          </reference>
        </references>
      </pivotArea>
    </chartFormat>
    <chartFormat chart="3" format="11695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48"/>
          </reference>
          <reference field="15" count="1" selected="0">
            <x v="6"/>
          </reference>
        </references>
      </pivotArea>
    </chartFormat>
    <chartFormat chart="3" format="11696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48"/>
          </reference>
          <reference field="15" count="1" selected="0">
            <x v="6"/>
          </reference>
        </references>
      </pivotArea>
    </chartFormat>
    <chartFormat chart="3" format="11697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48"/>
          </reference>
          <reference field="15" count="1" selected="0">
            <x v="6"/>
          </reference>
        </references>
      </pivotArea>
    </chartFormat>
    <chartFormat chart="3" format="11698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48"/>
          </reference>
          <reference field="15" count="1" selected="0">
            <x v="6"/>
          </reference>
        </references>
      </pivotArea>
    </chartFormat>
    <chartFormat chart="3" format="11699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48"/>
          </reference>
          <reference field="15" count="1" selected="0">
            <x v="6"/>
          </reference>
        </references>
      </pivotArea>
    </chartFormat>
    <chartFormat chart="3" format="11700">
      <pivotArea type="data" outline="0" fieldPosition="0">
        <references count="4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149"/>
          </reference>
          <reference field="15" count="1" selected="0">
            <x v="6"/>
          </reference>
        </references>
      </pivotArea>
    </chartFormat>
    <chartFormat chart="3" format="11701">
      <pivotArea type="data" outline="0" fieldPosition="0">
        <references count="4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149"/>
          </reference>
          <reference field="15" count="1" selected="0">
            <x v="6"/>
          </reference>
        </references>
      </pivotArea>
    </chartFormat>
    <chartFormat chart="3" format="11702">
      <pivotArea type="data" outline="0" fieldPosition="0">
        <references count="4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149"/>
          </reference>
          <reference field="15" count="1" selected="0">
            <x v="6"/>
          </reference>
        </references>
      </pivotArea>
    </chartFormat>
    <chartFormat chart="3" format="11703">
      <pivotArea type="data" outline="0" fieldPosition="0">
        <references count="4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149"/>
          </reference>
          <reference field="15" count="1" selected="0">
            <x v="6"/>
          </reference>
        </references>
      </pivotArea>
    </chartFormat>
    <chartFormat chart="3" format="11704">
      <pivotArea type="data" outline="0" fieldPosition="0">
        <references count="4">
          <reference field="4294967294" count="1" selected="0">
            <x v="0"/>
          </reference>
          <reference field="3" count="1" selected="0">
            <x v="6"/>
          </reference>
          <reference field="4" count="1" selected="0">
            <x v="1149"/>
          </reference>
          <reference field="15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dateBetween" evalOrder="-1" id="64" name="Fecha de Vencimiento">
      <autoFilter ref="A1">
        <filterColumn colId="0">
          <customFilters and="1">
            <customFilter operator="greaterThanOrEqual" val="46082"/>
            <customFilter operator="lessThanOrEqual" val="46203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F8D898-F6C8-4501-8875-03E43A578C95}" name="TablaDinámica7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6" indent="0" outline="1" outlineData="1" multipleFieldFilters="0" chartFormat="3">
  <location ref="A3:B8" firstHeaderRow="1" firstDataRow="1" firstDataCol="1"/>
  <pivotFields count="16">
    <pivotField showAll="0"/>
    <pivotField showAll="0"/>
    <pivotField showAll="0">
      <items count="326">
        <item m="1" x="179"/>
        <item m="1" x="194"/>
        <item m="1" x="196"/>
        <item x="70"/>
        <item x="4"/>
        <item x="71"/>
        <item x="8"/>
        <item m="1" x="110"/>
        <item m="1" x="301"/>
        <item m="1" x="228"/>
        <item x="62"/>
        <item m="1" x="238"/>
        <item m="1" x="324"/>
        <item m="1" x="91"/>
        <item m="1" x="255"/>
        <item x="20"/>
        <item m="1" x="313"/>
        <item x="42"/>
        <item x="18"/>
        <item m="1" x="323"/>
        <item m="1" x="178"/>
        <item m="1" x="309"/>
        <item m="1" x="296"/>
        <item m="1" x="140"/>
        <item m="1" x="92"/>
        <item m="1" x="105"/>
        <item m="1" x="104"/>
        <item m="1" x="96"/>
        <item m="1" x="89"/>
        <item m="1" x="243"/>
        <item x="69"/>
        <item m="1" x="230"/>
        <item m="1" x="200"/>
        <item m="1" x="234"/>
        <item m="1" x="289"/>
        <item m="1" x="267"/>
        <item m="1" x="248"/>
        <item m="1" x="262"/>
        <item m="1" x="264"/>
        <item m="1" x="246"/>
        <item m="1" x="242"/>
        <item x="6"/>
        <item m="1" x="167"/>
        <item x="81"/>
        <item x="11"/>
        <item m="1" x="318"/>
        <item x="27"/>
        <item m="1" x="193"/>
        <item m="1" x="272"/>
        <item m="1" x="189"/>
        <item m="1" x="184"/>
        <item m="1" x="180"/>
        <item m="1" x="162"/>
        <item x="44"/>
        <item x="10"/>
        <item m="1" x="294"/>
        <item m="1" x="176"/>
        <item x="30"/>
        <item m="1" x="253"/>
        <item m="1" x="112"/>
        <item m="1" x="251"/>
        <item x="40"/>
        <item m="1" x="125"/>
        <item x="85"/>
        <item m="1" x="201"/>
        <item m="1" x="271"/>
        <item m="1" x="156"/>
        <item x="7"/>
        <item m="1" x="278"/>
        <item m="1" x="254"/>
        <item m="1" x="95"/>
        <item m="1" x="103"/>
        <item m="1" x="300"/>
        <item m="1" x="117"/>
        <item m="1" x="138"/>
        <item m="1" x="268"/>
        <item m="1" x="315"/>
        <item m="1" x="121"/>
        <item m="1" x="115"/>
        <item m="1" x="108"/>
        <item m="1" x="93"/>
        <item m="1" x="258"/>
        <item m="1" x="182"/>
        <item m="1" x="165"/>
        <item x="52"/>
        <item m="1" x="161"/>
        <item x="53"/>
        <item m="1" x="172"/>
        <item m="1" x="216"/>
        <item x="23"/>
        <item x="37"/>
        <item x="25"/>
        <item m="1" x="168"/>
        <item m="1" x="164"/>
        <item x="48"/>
        <item m="1" x="159"/>
        <item m="1" x="122"/>
        <item x="49"/>
        <item m="1" x="175"/>
        <item m="1" x="236"/>
        <item x="67"/>
        <item m="1" x="269"/>
        <item m="1" x="190"/>
        <item m="1" x="237"/>
        <item x="43"/>
        <item x="80"/>
        <item x="75"/>
        <item m="1" x="169"/>
        <item x="26"/>
        <item m="1" x="244"/>
        <item x="61"/>
        <item m="1" x="147"/>
        <item x="31"/>
        <item m="1" x="185"/>
        <item m="1" x="311"/>
        <item m="1" x="209"/>
        <item x="1"/>
        <item m="1" x="232"/>
        <item x="65"/>
        <item m="1" x="177"/>
        <item x="72"/>
        <item m="1" x="314"/>
        <item m="1" x="293"/>
        <item m="1" x="233"/>
        <item m="1" x="302"/>
        <item m="1" x="299"/>
        <item m="1" x="286"/>
        <item m="1" x="240"/>
        <item m="1" x="266"/>
        <item m="1" x="270"/>
        <item m="1" x="291"/>
        <item m="1" x="152"/>
        <item m="1" x="310"/>
        <item m="1" x="100"/>
        <item m="1" x="249"/>
        <item m="1" x="113"/>
        <item m="1" x="222"/>
        <item m="1" x="290"/>
        <item m="1" x="198"/>
        <item m="1" x="273"/>
        <item m="1" x="174"/>
        <item m="1" x="275"/>
        <item m="1" x="120"/>
        <item m="1" x="226"/>
        <item x="16"/>
        <item m="1" x="217"/>
        <item m="1" x="250"/>
        <item m="1" x="192"/>
        <item m="1" x="292"/>
        <item m="1" x="285"/>
        <item m="1" x="281"/>
        <item m="1" x="154"/>
        <item m="1" x="99"/>
        <item m="1" x="90"/>
        <item m="1" x="257"/>
        <item m="1" x="109"/>
        <item m="1" x="130"/>
        <item m="1" x="205"/>
        <item m="1" x="321"/>
        <item m="1" x="307"/>
        <item m="1" x="225"/>
        <item x="0"/>
        <item m="1" x="303"/>
        <item m="1" x="284"/>
        <item m="1" x="94"/>
        <item m="1" x="98"/>
        <item m="1" x="116"/>
        <item m="1" x="235"/>
        <item m="1" x="118"/>
        <item m="1" x="132"/>
        <item m="1" x="123"/>
        <item m="1" x="280"/>
        <item m="1" x="211"/>
        <item m="1" x="207"/>
        <item m="1" x="317"/>
        <item x="55"/>
        <item m="1" x="106"/>
        <item m="1" x="102"/>
        <item m="1" x="183"/>
        <item x="66"/>
        <item m="1" x="166"/>
        <item m="1" x="126"/>
        <item x="51"/>
        <item m="1" x="263"/>
        <item m="1" x="170"/>
        <item x="76"/>
        <item x="83"/>
        <item m="1" x="129"/>
        <item x="41"/>
        <item x="82"/>
        <item m="1" x="204"/>
        <item m="1" x="241"/>
        <item m="1" x="295"/>
        <item m="1" x="213"/>
        <item m="1" x="312"/>
        <item m="1" x="197"/>
        <item x="22"/>
        <item x="14"/>
        <item m="1" x="203"/>
        <item m="1" x="224"/>
        <item m="1" x="163"/>
        <item m="1" x="282"/>
        <item m="1" x="206"/>
        <item m="1" x="219"/>
        <item m="1" x="220"/>
        <item m="1" x="212"/>
        <item m="1" x="215"/>
        <item m="1" x="288"/>
        <item m="1" x="208"/>
        <item m="1" x="308"/>
        <item m="1" x="136"/>
        <item m="1" x="141"/>
        <item m="1" x="298"/>
        <item m="1" x="137"/>
        <item m="1" x="111"/>
        <item m="1" x="131"/>
        <item m="1" x="142"/>
        <item m="1" x="143"/>
        <item x="47"/>
        <item m="1" x="188"/>
        <item m="1" x="319"/>
        <item x="68"/>
        <item m="1" x="150"/>
        <item m="1" x="231"/>
        <item m="1" x="277"/>
        <item m="1" x="101"/>
        <item x="57"/>
        <item m="1" x="199"/>
        <item m="1" x="145"/>
        <item m="1" x="316"/>
        <item x="84"/>
        <item m="1" x="210"/>
        <item m="1" x="171"/>
        <item m="1" x="151"/>
        <item m="1" x="306"/>
        <item m="1" x="261"/>
        <item x="39"/>
        <item x="86"/>
        <item m="1" x="218"/>
        <item x="64"/>
        <item m="1" x="287"/>
        <item m="1" x="187"/>
        <item x="60"/>
        <item x="28"/>
        <item m="1" x="283"/>
        <item m="1" x="297"/>
        <item m="1" x="186"/>
        <item m="1" x="97"/>
        <item m="1" x="119"/>
        <item x="19"/>
        <item m="1" x="229"/>
        <item x="9"/>
        <item m="1" x="127"/>
        <item m="1" x="134"/>
        <item x="34"/>
        <item m="1" x="214"/>
        <item x="29"/>
        <item m="1" x="144"/>
        <item x="15"/>
        <item x="17"/>
        <item m="1" x="265"/>
        <item x="36"/>
        <item x="33"/>
        <item x="54"/>
        <item x="35"/>
        <item m="1" x="191"/>
        <item x="32"/>
        <item x="74"/>
        <item m="1" x="139"/>
        <item x="12"/>
        <item m="1" x="88"/>
        <item m="1" x="135"/>
        <item m="1" x="157"/>
        <item m="1" x="239"/>
        <item m="1" x="304"/>
        <item m="1" x="149"/>
        <item m="1" x="202"/>
        <item m="1" x="133"/>
        <item m="1" x="153"/>
        <item x="24"/>
        <item m="1" x="114"/>
        <item m="1" x="247"/>
        <item x="73"/>
        <item x="13"/>
        <item x="50"/>
        <item x="78"/>
        <item x="21"/>
        <item m="1" x="320"/>
        <item m="1" x="181"/>
        <item m="1" x="256"/>
        <item m="1" x="221"/>
        <item x="45"/>
        <item m="1" x="146"/>
        <item x="5"/>
        <item m="1" x="107"/>
        <item x="46"/>
        <item m="1" x="252"/>
        <item x="2"/>
        <item x="79"/>
        <item m="1" x="158"/>
        <item x="59"/>
        <item m="1" x="259"/>
        <item x="3"/>
        <item m="1" x="160"/>
        <item x="63"/>
        <item m="1" x="274"/>
        <item m="1" x="223"/>
        <item m="1" x="276"/>
        <item x="58"/>
        <item m="1" x="245"/>
        <item m="1" x="124"/>
        <item m="1" x="155"/>
        <item m="1" x="87"/>
        <item m="1" x="128"/>
        <item m="1" x="279"/>
        <item m="1" x="322"/>
        <item x="38"/>
        <item m="1" x="260"/>
        <item m="1" x="173"/>
        <item m="1" x="227"/>
        <item x="56"/>
        <item m="1" x="148"/>
        <item x="77"/>
        <item m="1" x="305"/>
        <item m="1" x="195"/>
        <item t="default"/>
      </items>
    </pivotField>
    <pivotField showAll="0">
      <items count="8">
        <item x="0"/>
        <item x="2"/>
        <item x="1"/>
        <item x="3"/>
        <item x="4"/>
        <item x="5"/>
        <item m="1" x="6"/>
        <item t="default"/>
      </items>
    </pivotField>
    <pivotField numFmtId="14" showAll="0" sortType="ascending" defaultSubtotal="0">
      <items count="1186"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6"/>
        <item m="1" x="445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3"/>
        <item m="1" x="544"/>
        <item m="1" x="542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7"/>
        <item m="1" x="586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1185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1184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1183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5"/>
        <item m="1" x="874"/>
        <item m="1" x="876"/>
        <item m="1" x="877"/>
        <item m="1" x="878"/>
        <item m="1" x="879"/>
        <item m="1" x="11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1180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1181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1176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1177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1178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20"/>
        <item m="1" x="1022"/>
        <item m="1" x="1021"/>
        <item m="1" x="1023"/>
        <item m="1" x="1024"/>
        <item m="1" x="1025"/>
        <item m="1" x="1019"/>
        <item m="1" x="117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x="0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x="1"/>
        <item m="1" x="1078"/>
        <item m="1" x="1079"/>
        <item m="1" x="1174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x="2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82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x="3"/>
        <item m="1" x="1127"/>
        <item m="1" x="1128"/>
        <item x="18"/>
        <item m="1" x="1129"/>
        <item m="1" x="1130"/>
        <item m="1" x="1131"/>
        <item m="1" x="1132"/>
        <item m="1" x="1133"/>
        <item m="1" x="1134"/>
        <item m="1" x="1135"/>
        <item m="1" x="1136"/>
        <item m="1" x="1173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x="4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x="5"/>
        <item x="6"/>
        <item x="7"/>
        <item x="8"/>
        <item x="9"/>
        <item x="10"/>
        <item x="11"/>
        <item x="12"/>
        <item x="13"/>
        <item x="14"/>
        <item x="15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16"/>
        <item m="1" x="1171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1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5"/>
        <item x="74"/>
        <item x="76"/>
        <item x="77"/>
        <item x="78"/>
        <item x="79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102"/>
        <item x="103"/>
        <item x="80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9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99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m="1" x="427"/>
        <item x="174"/>
        <item x="100"/>
        <item x="175"/>
        <item x="176"/>
        <item x="177"/>
        <item x="178"/>
        <item x="179"/>
        <item x="180"/>
        <item x="181"/>
        <item x="182"/>
        <item x="184"/>
        <item x="183"/>
        <item m="1" x="428"/>
        <item x="185"/>
        <item x="186"/>
        <item x="187"/>
        <item x="188"/>
        <item x="189"/>
        <item x="190"/>
        <item x="191"/>
        <item x="192"/>
        <item x="193"/>
        <item x="194"/>
        <item x="101"/>
        <item x="195"/>
        <item x="196"/>
        <item x="198"/>
        <item x="197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2"/>
        <item x="211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8"/>
        <item x="237"/>
        <item x="239"/>
        <item x="240"/>
        <item x="241"/>
        <item x="242"/>
        <item x="243"/>
        <item x="244"/>
        <item x="245"/>
        <item x="246"/>
        <item x="247"/>
        <item m="1" x="424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m="1" x="426"/>
        <item x="260"/>
        <item x="259"/>
        <item x="261"/>
        <item x="262"/>
        <item x="263"/>
        <item x="265"/>
        <item x="264"/>
        <item x="266"/>
        <item m="1" x="423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m="1" x="1172"/>
        <item x="284"/>
        <item x="285"/>
        <item x="286"/>
        <item m="1" x="425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6"/>
        <item x="365"/>
        <item x="367"/>
        <item x="368"/>
        <item x="369"/>
        <item x="370"/>
        <item x="371"/>
        <item x="372"/>
        <item x="373"/>
        <item x="374"/>
        <item x="375"/>
        <item x="376"/>
        <item x="378"/>
        <item x="377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8"/>
        <item x="415"/>
        <item x="419"/>
        <item x="416"/>
        <item x="417"/>
        <item x="420"/>
        <item x="421"/>
        <item x="422"/>
      </items>
    </pivotField>
    <pivotField numFmtId="1" showAll="0"/>
    <pivotField showAll="0"/>
    <pivotField showAll="0"/>
    <pivotField numFmtId="43" showAll="0"/>
    <pivotField showAll="0"/>
    <pivotField showAll="0"/>
    <pivotField showAll="0">
      <items count="158">
        <item x="16"/>
        <item x="54"/>
        <item x="29"/>
        <item m="1" x="97"/>
        <item x="14"/>
        <item x="21"/>
        <item m="1" x="74"/>
        <item m="1" x="123"/>
        <item m="1" x="133"/>
        <item x="34"/>
        <item m="1" x="89"/>
        <item m="1" x="136"/>
        <item x="2"/>
        <item x="36"/>
        <item m="1" x="137"/>
        <item m="1" x="135"/>
        <item x="71"/>
        <item x="33"/>
        <item m="1" x="110"/>
        <item x="68"/>
        <item m="1" x="77"/>
        <item m="1" x="105"/>
        <item x="50"/>
        <item x="10"/>
        <item m="1" x="120"/>
        <item x="66"/>
        <item m="1" x="129"/>
        <item x="63"/>
        <item x="28"/>
        <item x="72"/>
        <item m="1" x="90"/>
        <item x="8"/>
        <item x="15"/>
        <item m="1" x="128"/>
        <item x="45"/>
        <item x="9"/>
        <item x="57"/>
        <item m="1" x="102"/>
        <item m="1" x="150"/>
        <item x="20"/>
        <item m="1" x="111"/>
        <item x="5"/>
        <item m="1" x="92"/>
        <item m="1" x="125"/>
        <item x="43"/>
        <item m="1" x="122"/>
        <item x="18"/>
        <item m="1" x="154"/>
        <item m="1" x="116"/>
        <item x="38"/>
        <item x="1"/>
        <item x="41"/>
        <item x="0"/>
        <item m="1" x="88"/>
        <item m="1" x="106"/>
        <item m="1" x="99"/>
        <item m="1" x="82"/>
        <item m="1" x="95"/>
        <item x="7"/>
        <item m="1" x="127"/>
        <item x="19"/>
        <item m="1" x="143"/>
        <item m="1" x="91"/>
        <item m="1" x="131"/>
        <item m="1" x="130"/>
        <item m="1" x="112"/>
        <item x="59"/>
        <item m="1" x="144"/>
        <item m="1" x="83"/>
        <item x="65"/>
        <item m="1" x="126"/>
        <item m="1" x="132"/>
        <item m="1" x="155"/>
        <item m="1" x="119"/>
        <item m="1" x="148"/>
        <item x="23"/>
        <item m="1" x="152"/>
        <item x="61"/>
        <item x="55"/>
        <item m="1" x="140"/>
        <item m="1" x="80"/>
        <item x="49"/>
        <item m="1" x="117"/>
        <item x="4"/>
        <item x="42"/>
        <item m="1" x="121"/>
        <item x="24"/>
        <item x="51"/>
        <item x="64"/>
        <item x="62"/>
        <item m="1" x="104"/>
        <item m="1" x="84"/>
        <item m="1" x="81"/>
        <item m="1" x="156"/>
        <item x="12"/>
        <item m="1" x="107"/>
        <item m="1" x="73"/>
        <item x="35"/>
        <item x="53"/>
        <item m="1" x="78"/>
        <item m="1" x="93"/>
        <item x="58"/>
        <item x="70"/>
        <item m="1" x="113"/>
        <item m="1" x="109"/>
        <item m="1" x="108"/>
        <item x="32"/>
        <item m="1" x="118"/>
        <item m="1" x="139"/>
        <item x="31"/>
        <item m="1" x="138"/>
        <item x="17"/>
        <item x="27"/>
        <item x="69"/>
        <item x="26"/>
        <item x="25"/>
        <item m="1" x="149"/>
        <item m="1" x="100"/>
        <item m="1" x="141"/>
        <item m="1" x="86"/>
        <item x="67"/>
        <item m="1" x="146"/>
        <item m="1" x="151"/>
        <item m="1" x="115"/>
        <item x="60"/>
        <item x="56"/>
        <item m="1" x="101"/>
        <item m="1" x="98"/>
        <item m="1" x="96"/>
        <item x="6"/>
        <item x="40"/>
        <item m="1" x="75"/>
        <item x="11"/>
        <item m="1" x="79"/>
        <item m="1" x="145"/>
        <item x="44"/>
        <item m="1" x="134"/>
        <item x="3"/>
        <item m="1" x="124"/>
        <item x="37"/>
        <item x="47"/>
        <item x="30"/>
        <item m="1" x="142"/>
        <item x="13"/>
        <item m="1" x="94"/>
        <item m="1" x="76"/>
        <item x="48"/>
        <item x="46"/>
        <item x="52"/>
        <item m="1" x="103"/>
        <item m="1" x="153"/>
        <item m="1" x="85"/>
        <item x="39"/>
        <item m="1" x="87"/>
        <item m="1" x="147"/>
        <item x="22"/>
        <item m="1" x="114"/>
        <item t="default"/>
      </items>
    </pivotField>
    <pivotField showAll="0">
      <items count="9">
        <item h="1" x="0"/>
        <item h="1" m="1" x="6"/>
        <item h="1" m="1" x="4"/>
        <item x="1"/>
        <item h="1" m="1" x="5"/>
        <item h="1" m="1" x="3"/>
        <item h="1" m="1" x="7"/>
        <item h="1" x="2"/>
        <item t="default"/>
      </items>
    </pivotField>
    <pivotField showAll="0"/>
    <pivotField dataField="1" numFmtId="43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5"/>
  </rowFields>
  <rowItems count="5"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a de DOLARES" fld="14" baseField="0" baseItem="0" numFmtId="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dateBetween" evalOrder="-1" id="64" name="Fecha de Vencimiento">
      <autoFilter ref="A1">
        <filterColumn colId="0">
          <customFilters and="1">
            <customFilter operator="greaterThanOrEqual" val="46082"/>
            <customFilter operator="lessThanOrEqual" val="46203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730814-30D0-40B4-AFB4-E9D8E7E16F96}" name="TablaDinámica10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6" indent="0" outline="1" outlineData="1" multipleFieldFilters="0" chartFormat="5">
  <location ref="I106:J114" firstHeaderRow="1" firstDataRow="1" firstDataCol="1"/>
  <pivotFields count="16">
    <pivotField showAll="0"/>
    <pivotField showAll="0"/>
    <pivotField showAll="0">
      <items count="326">
        <item m="1" x="179"/>
        <item m="1" x="194"/>
        <item m="1" x="196"/>
        <item x="70"/>
        <item x="4"/>
        <item x="71"/>
        <item x="8"/>
        <item m="1" x="110"/>
        <item m="1" x="301"/>
        <item m="1" x="228"/>
        <item x="62"/>
        <item m="1" x="238"/>
        <item m="1" x="324"/>
        <item m="1" x="91"/>
        <item m="1" x="255"/>
        <item x="20"/>
        <item m="1" x="313"/>
        <item x="42"/>
        <item x="18"/>
        <item m="1" x="323"/>
        <item m="1" x="178"/>
        <item m="1" x="309"/>
        <item m="1" x="296"/>
        <item m="1" x="140"/>
        <item m="1" x="92"/>
        <item m="1" x="105"/>
        <item m="1" x="104"/>
        <item m="1" x="96"/>
        <item m="1" x="89"/>
        <item m="1" x="243"/>
        <item x="69"/>
        <item m="1" x="230"/>
        <item m="1" x="200"/>
        <item m="1" x="234"/>
        <item m="1" x="289"/>
        <item m="1" x="267"/>
        <item m="1" x="248"/>
        <item m="1" x="262"/>
        <item m="1" x="264"/>
        <item m="1" x="246"/>
        <item m="1" x="242"/>
        <item x="6"/>
        <item m="1" x="167"/>
        <item x="81"/>
        <item x="11"/>
        <item m="1" x="318"/>
        <item x="27"/>
        <item m="1" x="193"/>
        <item m="1" x="272"/>
        <item m="1" x="189"/>
        <item m="1" x="184"/>
        <item m="1" x="180"/>
        <item m="1" x="162"/>
        <item x="44"/>
        <item x="10"/>
        <item m="1" x="294"/>
        <item m="1" x="176"/>
        <item x="30"/>
        <item m="1" x="253"/>
        <item m="1" x="112"/>
        <item m="1" x="251"/>
        <item x="40"/>
        <item m="1" x="125"/>
        <item x="85"/>
        <item m="1" x="201"/>
        <item m="1" x="271"/>
        <item m="1" x="156"/>
        <item x="7"/>
        <item m="1" x="278"/>
        <item m="1" x="254"/>
        <item m="1" x="95"/>
        <item m="1" x="103"/>
        <item m="1" x="300"/>
        <item m="1" x="117"/>
        <item m="1" x="138"/>
        <item m="1" x="268"/>
        <item m="1" x="315"/>
        <item m="1" x="121"/>
        <item m="1" x="115"/>
        <item m="1" x="108"/>
        <item m="1" x="93"/>
        <item m="1" x="258"/>
        <item m="1" x="182"/>
        <item m="1" x="165"/>
        <item x="52"/>
        <item m="1" x="161"/>
        <item x="53"/>
        <item m="1" x="172"/>
        <item m="1" x="216"/>
        <item x="23"/>
        <item x="37"/>
        <item x="25"/>
        <item m="1" x="168"/>
        <item m="1" x="164"/>
        <item x="48"/>
        <item m="1" x="159"/>
        <item m="1" x="122"/>
        <item x="49"/>
        <item m="1" x="175"/>
        <item m="1" x="236"/>
        <item x="67"/>
        <item m="1" x="269"/>
        <item m="1" x="190"/>
        <item m="1" x="237"/>
        <item x="43"/>
        <item x="80"/>
        <item x="75"/>
        <item m="1" x="169"/>
        <item x="26"/>
        <item m="1" x="244"/>
        <item x="61"/>
        <item m="1" x="147"/>
        <item x="31"/>
        <item m="1" x="185"/>
        <item m="1" x="311"/>
        <item m="1" x="209"/>
        <item x="1"/>
        <item m="1" x="232"/>
        <item x="65"/>
        <item m="1" x="177"/>
        <item x="72"/>
        <item m="1" x="314"/>
        <item m="1" x="293"/>
        <item m="1" x="233"/>
        <item m="1" x="302"/>
        <item m="1" x="299"/>
        <item m="1" x="286"/>
        <item m="1" x="240"/>
        <item m="1" x="266"/>
        <item m="1" x="270"/>
        <item m="1" x="291"/>
        <item m="1" x="152"/>
        <item m="1" x="310"/>
        <item m="1" x="100"/>
        <item m="1" x="249"/>
        <item m="1" x="113"/>
        <item m="1" x="222"/>
        <item m="1" x="290"/>
        <item m="1" x="198"/>
        <item m="1" x="273"/>
        <item m="1" x="174"/>
        <item m="1" x="275"/>
        <item m="1" x="120"/>
        <item m="1" x="226"/>
        <item x="16"/>
        <item m="1" x="217"/>
        <item m="1" x="250"/>
        <item m="1" x="192"/>
        <item m="1" x="292"/>
        <item m="1" x="285"/>
        <item m="1" x="281"/>
        <item m="1" x="154"/>
        <item m="1" x="99"/>
        <item m="1" x="90"/>
        <item m="1" x="257"/>
        <item m="1" x="109"/>
        <item m="1" x="130"/>
        <item m="1" x="205"/>
        <item m="1" x="321"/>
        <item m="1" x="307"/>
        <item m="1" x="225"/>
        <item x="0"/>
        <item m="1" x="303"/>
        <item m="1" x="284"/>
        <item m="1" x="94"/>
        <item m="1" x="98"/>
        <item m="1" x="116"/>
        <item m="1" x="235"/>
        <item m="1" x="118"/>
        <item m="1" x="132"/>
        <item m="1" x="123"/>
        <item m="1" x="280"/>
        <item m="1" x="211"/>
        <item m="1" x="207"/>
        <item m="1" x="317"/>
        <item x="55"/>
        <item m="1" x="106"/>
        <item m="1" x="102"/>
        <item m="1" x="183"/>
        <item x="66"/>
        <item m="1" x="166"/>
        <item m="1" x="126"/>
        <item x="51"/>
        <item m="1" x="263"/>
        <item m="1" x="170"/>
        <item x="76"/>
        <item x="83"/>
        <item m="1" x="129"/>
        <item x="41"/>
        <item x="82"/>
        <item m="1" x="204"/>
        <item m="1" x="241"/>
        <item m="1" x="295"/>
        <item m="1" x="213"/>
        <item m="1" x="312"/>
        <item m="1" x="197"/>
        <item x="22"/>
        <item x="14"/>
        <item m="1" x="203"/>
        <item m="1" x="224"/>
        <item m="1" x="163"/>
        <item m="1" x="282"/>
        <item m="1" x="206"/>
        <item m="1" x="219"/>
        <item m="1" x="220"/>
        <item m="1" x="212"/>
        <item m="1" x="215"/>
        <item m="1" x="288"/>
        <item m="1" x="208"/>
        <item m="1" x="308"/>
        <item m="1" x="136"/>
        <item m="1" x="141"/>
        <item m="1" x="298"/>
        <item m="1" x="137"/>
        <item m="1" x="111"/>
        <item m="1" x="131"/>
        <item m="1" x="142"/>
        <item m="1" x="143"/>
        <item x="47"/>
        <item m="1" x="188"/>
        <item m="1" x="319"/>
        <item x="68"/>
        <item m="1" x="150"/>
        <item m="1" x="231"/>
        <item m="1" x="277"/>
        <item m="1" x="101"/>
        <item x="57"/>
        <item m="1" x="199"/>
        <item m="1" x="145"/>
        <item m="1" x="316"/>
        <item x="84"/>
        <item m="1" x="210"/>
        <item m="1" x="171"/>
        <item m="1" x="151"/>
        <item m="1" x="306"/>
        <item m="1" x="261"/>
        <item x="39"/>
        <item x="86"/>
        <item m="1" x="218"/>
        <item x="64"/>
        <item m="1" x="287"/>
        <item m="1" x="187"/>
        <item x="60"/>
        <item x="28"/>
        <item m="1" x="283"/>
        <item m="1" x="297"/>
        <item m="1" x="186"/>
        <item m="1" x="97"/>
        <item m="1" x="119"/>
        <item x="19"/>
        <item m="1" x="229"/>
        <item x="9"/>
        <item m="1" x="127"/>
        <item m="1" x="134"/>
        <item x="34"/>
        <item m="1" x="214"/>
        <item x="29"/>
        <item m="1" x="144"/>
        <item x="15"/>
        <item x="17"/>
        <item m="1" x="265"/>
        <item x="36"/>
        <item x="33"/>
        <item x="54"/>
        <item x="35"/>
        <item m="1" x="191"/>
        <item x="32"/>
        <item x="74"/>
        <item m="1" x="139"/>
        <item x="12"/>
        <item m="1" x="88"/>
        <item m="1" x="135"/>
        <item m="1" x="157"/>
        <item m="1" x="239"/>
        <item m="1" x="304"/>
        <item m="1" x="149"/>
        <item m="1" x="202"/>
        <item m="1" x="133"/>
        <item m="1" x="153"/>
        <item x="24"/>
        <item m="1" x="114"/>
        <item m="1" x="247"/>
        <item x="73"/>
        <item x="13"/>
        <item x="50"/>
        <item x="78"/>
        <item x="21"/>
        <item m="1" x="320"/>
        <item m="1" x="181"/>
        <item m="1" x="256"/>
        <item m="1" x="221"/>
        <item x="45"/>
        <item m="1" x="146"/>
        <item x="5"/>
        <item m="1" x="107"/>
        <item x="46"/>
        <item m="1" x="252"/>
        <item x="2"/>
        <item x="79"/>
        <item m="1" x="158"/>
        <item x="59"/>
        <item m="1" x="259"/>
        <item x="3"/>
        <item m="1" x="160"/>
        <item x="63"/>
        <item m="1" x="274"/>
        <item m="1" x="223"/>
        <item m="1" x="276"/>
        <item x="58"/>
        <item m="1" x="245"/>
        <item m="1" x="124"/>
        <item m="1" x="155"/>
        <item m="1" x="87"/>
        <item m="1" x="128"/>
        <item m="1" x="279"/>
        <item m="1" x="322"/>
        <item x="38"/>
        <item m="1" x="260"/>
        <item m="1" x="173"/>
        <item m="1" x="227"/>
        <item x="56"/>
        <item m="1" x="148"/>
        <item x="77"/>
        <item m="1" x="305"/>
        <item m="1" x="195"/>
        <item t="default"/>
      </items>
    </pivotField>
    <pivotField showAll="0">
      <items count="8">
        <item x="0"/>
        <item x="2"/>
        <item x="1"/>
        <item x="3"/>
        <item x="4"/>
        <item x="5"/>
        <item m="1" x="6"/>
        <item t="default"/>
      </items>
    </pivotField>
    <pivotField numFmtId="14" showAll="0">
      <items count="1187"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6"/>
        <item m="1" x="445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3"/>
        <item m="1" x="544"/>
        <item m="1" x="542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7"/>
        <item m="1" x="586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1185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1184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1183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5"/>
        <item m="1" x="874"/>
        <item m="1" x="876"/>
        <item m="1" x="877"/>
        <item m="1" x="878"/>
        <item m="1" x="879"/>
        <item m="1" x="11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1180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1181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1176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1177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1178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20"/>
        <item m="1" x="1022"/>
        <item m="1" x="1021"/>
        <item m="1" x="1023"/>
        <item m="1" x="1024"/>
        <item m="1" x="1025"/>
        <item m="1" x="1019"/>
        <item m="1" x="117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x="0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x="1"/>
        <item m="1" x="1078"/>
        <item m="1" x="1079"/>
        <item m="1" x="1174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x="2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82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x="3"/>
        <item m="1" x="1127"/>
        <item m="1" x="1128"/>
        <item x="18"/>
        <item m="1" x="1129"/>
        <item m="1" x="1130"/>
        <item m="1" x="1131"/>
        <item m="1" x="1132"/>
        <item m="1" x="1133"/>
        <item m="1" x="1134"/>
        <item m="1" x="1135"/>
        <item m="1" x="1136"/>
        <item m="1" x="1173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x="4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x="5"/>
        <item x="6"/>
        <item x="7"/>
        <item x="8"/>
        <item x="9"/>
        <item x="10"/>
        <item x="11"/>
        <item x="12"/>
        <item x="13"/>
        <item x="14"/>
        <item x="15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16"/>
        <item m="1" x="1171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1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5"/>
        <item x="74"/>
        <item x="76"/>
        <item x="77"/>
        <item x="78"/>
        <item x="79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102"/>
        <item x="103"/>
        <item x="80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9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99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m="1" x="427"/>
        <item x="174"/>
        <item x="100"/>
        <item x="175"/>
        <item x="176"/>
        <item x="177"/>
        <item x="178"/>
        <item x="179"/>
        <item x="180"/>
        <item x="181"/>
        <item x="182"/>
        <item x="184"/>
        <item x="183"/>
        <item m="1" x="428"/>
        <item x="185"/>
        <item x="186"/>
        <item x="187"/>
        <item x="188"/>
        <item x="189"/>
        <item x="190"/>
        <item x="191"/>
        <item x="192"/>
        <item x="193"/>
        <item x="194"/>
        <item x="101"/>
        <item x="195"/>
        <item x="196"/>
        <item x="198"/>
        <item x="197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2"/>
        <item x="211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8"/>
        <item x="237"/>
        <item x="239"/>
        <item x="240"/>
        <item x="241"/>
        <item x="242"/>
        <item x="243"/>
        <item x="244"/>
        <item x="245"/>
        <item x="246"/>
        <item x="247"/>
        <item m="1" x="424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m="1" x="426"/>
        <item x="260"/>
        <item x="259"/>
        <item x="261"/>
        <item x="262"/>
        <item x="263"/>
        <item x="265"/>
        <item x="264"/>
        <item x="266"/>
        <item m="1" x="423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m="1" x="1172"/>
        <item x="284"/>
        <item x="285"/>
        <item x="286"/>
        <item m="1" x="425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6"/>
        <item x="365"/>
        <item x="367"/>
        <item x="368"/>
        <item x="369"/>
        <item x="370"/>
        <item x="371"/>
        <item x="372"/>
        <item x="373"/>
        <item x="374"/>
        <item x="375"/>
        <item x="376"/>
        <item x="378"/>
        <item x="377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8"/>
        <item x="415"/>
        <item x="419"/>
        <item x="416"/>
        <item x="417"/>
        <item x="420"/>
        <item x="421"/>
        <item x="422"/>
        <item t="default"/>
      </items>
    </pivotField>
    <pivotField numFmtId="1" showAll="0"/>
    <pivotField showAll="0"/>
    <pivotField showAll="0"/>
    <pivotField numFmtId="43" showAll="0"/>
    <pivotField showAll="0"/>
    <pivotField axis="axisRow" showAll="0">
      <items count="17">
        <item x="2"/>
        <item x="1"/>
        <item x="5"/>
        <item m="1" x="11"/>
        <item x="3"/>
        <item m="1" x="15"/>
        <item m="1" x="13"/>
        <item x="4"/>
        <item x="7"/>
        <item x="8"/>
        <item x="0"/>
        <item m="1" x="10"/>
        <item m="1" x="14"/>
        <item m="1" x="9"/>
        <item m="1" x="12"/>
        <item x="6"/>
        <item t="default"/>
      </items>
    </pivotField>
    <pivotField showAll="0">
      <items count="158">
        <item x="16"/>
        <item x="54"/>
        <item x="29"/>
        <item m="1" x="97"/>
        <item x="14"/>
        <item x="21"/>
        <item m="1" x="74"/>
        <item m="1" x="123"/>
        <item m="1" x="133"/>
        <item x="34"/>
        <item m="1" x="89"/>
        <item m="1" x="136"/>
        <item x="2"/>
        <item x="36"/>
        <item m="1" x="137"/>
        <item m="1" x="135"/>
        <item x="71"/>
        <item x="33"/>
        <item m="1" x="110"/>
        <item x="68"/>
        <item m="1" x="77"/>
        <item m="1" x="105"/>
        <item x="50"/>
        <item x="10"/>
        <item m="1" x="120"/>
        <item x="66"/>
        <item m="1" x="129"/>
        <item x="63"/>
        <item x="28"/>
        <item x="72"/>
        <item m="1" x="90"/>
        <item x="8"/>
        <item x="15"/>
        <item m="1" x="128"/>
        <item x="45"/>
        <item x="9"/>
        <item x="57"/>
        <item m="1" x="102"/>
        <item m="1" x="150"/>
        <item x="20"/>
        <item m="1" x="111"/>
        <item x="5"/>
        <item m="1" x="92"/>
        <item m="1" x="125"/>
        <item x="43"/>
        <item m="1" x="122"/>
        <item x="18"/>
        <item m="1" x="154"/>
        <item m="1" x="116"/>
        <item x="38"/>
        <item x="1"/>
        <item x="41"/>
        <item x="0"/>
        <item m="1" x="88"/>
        <item m="1" x="106"/>
        <item m="1" x="99"/>
        <item m="1" x="82"/>
        <item m="1" x="95"/>
        <item x="7"/>
        <item m="1" x="127"/>
        <item x="19"/>
        <item m="1" x="143"/>
        <item m="1" x="91"/>
        <item m="1" x="131"/>
        <item m="1" x="130"/>
        <item m="1" x="112"/>
        <item x="59"/>
        <item m="1" x="144"/>
        <item m="1" x="83"/>
        <item x="65"/>
        <item m="1" x="126"/>
        <item m="1" x="132"/>
        <item m="1" x="155"/>
        <item m="1" x="119"/>
        <item m="1" x="148"/>
        <item x="23"/>
        <item m="1" x="152"/>
        <item x="61"/>
        <item x="55"/>
        <item m="1" x="140"/>
        <item m="1" x="80"/>
        <item x="49"/>
        <item m="1" x="117"/>
        <item x="4"/>
        <item x="42"/>
        <item m="1" x="121"/>
        <item x="24"/>
        <item x="51"/>
        <item x="64"/>
        <item x="62"/>
        <item m="1" x="104"/>
        <item m="1" x="84"/>
        <item m="1" x="81"/>
        <item m="1" x="156"/>
        <item x="12"/>
        <item m="1" x="107"/>
        <item m="1" x="73"/>
        <item x="35"/>
        <item x="53"/>
        <item m="1" x="78"/>
        <item m="1" x="93"/>
        <item x="58"/>
        <item x="70"/>
        <item m="1" x="113"/>
        <item m="1" x="109"/>
        <item m="1" x="108"/>
        <item x="32"/>
        <item m="1" x="118"/>
        <item m="1" x="139"/>
        <item x="31"/>
        <item m="1" x="138"/>
        <item x="17"/>
        <item x="27"/>
        <item x="69"/>
        <item x="26"/>
        <item x="25"/>
        <item m="1" x="149"/>
        <item m="1" x="100"/>
        <item m="1" x="141"/>
        <item m="1" x="86"/>
        <item x="67"/>
        <item m="1" x="146"/>
        <item m="1" x="151"/>
        <item m="1" x="115"/>
        <item x="60"/>
        <item x="56"/>
        <item m="1" x="101"/>
        <item m="1" x="98"/>
        <item m="1" x="96"/>
        <item x="6"/>
        <item x="40"/>
        <item m="1" x="75"/>
        <item x="11"/>
        <item m="1" x="79"/>
        <item m="1" x="145"/>
        <item x="44"/>
        <item m="1" x="134"/>
        <item x="3"/>
        <item m="1" x="124"/>
        <item x="37"/>
        <item x="47"/>
        <item x="30"/>
        <item m="1" x="142"/>
        <item x="13"/>
        <item m="1" x="94"/>
        <item m="1" x="76"/>
        <item x="48"/>
        <item x="46"/>
        <item x="52"/>
        <item m="1" x="103"/>
        <item m="1" x="153"/>
        <item m="1" x="85"/>
        <item x="39"/>
        <item m="1" x="87"/>
        <item m="1" x="147"/>
        <item x="22"/>
        <item m="1" x="114"/>
        <item t="default"/>
      </items>
    </pivotField>
    <pivotField showAll="0">
      <items count="9">
        <item h="1" x="0"/>
        <item h="1" m="1" x="6"/>
        <item h="1" m="1" x="4"/>
        <item x="1"/>
        <item h="1" m="1" x="5"/>
        <item h="1" m="1" x="3"/>
        <item h="1" m="1" x="7"/>
        <item h="1" x="2"/>
        <item t="default"/>
      </items>
    </pivotField>
    <pivotField showAll="0"/>
    <pivotField dataField="1" numFmtId="43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0"/>
  </rowFields>
  <rowItems count="8">
    <i>
      <x/>
    </i>
    <i>
      <x v="1"/>
    </i>
    <i>
      <x v="4"/>
    </i>
    <i>
      <x v="7"/>
    </i>
    <i>
      <x v="8"/>
    </i>
    <i>
      <x v="9"/>
    </i>
    <i>
      <x v="15"/>
    </i>
    <i t="grand">
      <x/>
    </i>
  </rowItems>
  <colItems count="1">
    <i/>
  </colItems>
  <dataFields count="1">
    <dataField name="Suma de DOLARES" fld="1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dateBetween" evalOrder="-1" id="64" name="Fecha de Vencimiento">
      <autoFilter ref="A1">
        <filterColumn colId="0">
          <customFilters and="1">
            <customFilter operator="greaterThanOrEqual" val="46082"/>
            <customFilter operator="lessThanOrEqual" val="46203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4D1733-F989-4C0F-9F00-EE4EED542950}" name="TablaDinámica9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6" indent="0" outline="1" outlineData="1" multipleFieldFilters="0" chartFormat="3">
  <location ref="H23:I44" firstHeaderRow="1" firstDataRow="1" firstDataCol="1"/>
  <pivotFields count="16">
    <pivotField showAll="0"/>
    <pivotField showAll="0"/>
    <pivotField showAll="0">
      <items count="326">
        <item m="1" x="179"/>
        <item m="1" x="194"/>
        <item m="1" x="196"/>
        <item x="70"/>
        <item x="4"/>
        <item x="71"/>
        <item x="8"/>
        <item m="1" x="110"/>
        <item m="1" x="301"/>
        <item m="1" x="228"/>
        <item x="62"/>
        <item m="1" x="238"/>
        <item m="1" x="324"/>
        <item m="1" x="91"/>
        <item m="1" x="255"/>
        <item x="20"/>
        <item m="1" x="313"/>
        <item x="42"/>
        <item x="18"/>
        <item m="1" x="323"/>
        <item m="1" x="178"/>
        <item m="1" x="309"/>
        <item m="1" x="296"/>
        <item m="1" x="140"/>
        <item m="1" x="92"/>
        <item m="1" x="105"/>
        <item m="1" x="104"/>
        <item m="1" x="96"/>
        <item m="1" x="89"/>
        <item m="1" x="243"/>
        <item x="69"/>
        <item m="1" x="230"/>
        <item m="1" x="200"/>
        <item m="1" x="234"/>
        <item m="1" x="289"/>
        <item m="1" x="267"/>
        <item m="1" x="248"/>
        <item m="1" x="262"/>
        <item m="1" x="264"/>
        <item m="1" x="246"/>
        <item m="1" x="242"/>
        <item x="6"/>
        <item m="1" x="167"/>
        <item x="81"/>
        <item x="11"/>
        <item m="1" x="318"/>
        <item x="27"/>
        <item m="1" x="193"/>
        <item m="1" x="272"/>
        <item m="1" x="189"/>
        <item m="1" x="184"/>
        <item m="1" x="180"/>
        <item m="1" x="162"/>
        <item x="44"/>
        <item x="10"/>
        <item m="1" x="294"/>
        <item m="1" x="176"/>
        <item x="30"/>
        <item m="1" x="253"/>
        <item m="1" x="112"/>
        <item m="1" x="251"/>
        <item x="40"/>
        <item m="1" x="125"/>
        <item x="85"/>
        <item m="1" x="201"/>
        <item m="1" x="271"/>
        <item m="1" x="156"/>
        <item x="7"/>
        <item m="1" x="278"/>
        <item m="1" x="254"/>
        <item m="1" x="95"/>
        <item m="1" x="103"/>
        <item m="1" x="300"/>
        <item m="1" x="117"/>
        <item m="1" x="138"/>
        <item m="1" x="268"/>
        <item m="1" x="315"/>
        <item m="1" x="121"/>
        <item m="1" x="115"/>
        <item m="1" x="108"/>
        <item m="1" x="93"/>
        <item m="1" x="258"/>
        <item m="1" x="182"/>
        <item m="1" x="165"/>
        <item x="52"/>
        <item m="1" x="161"/>
        <item x="53"/>
        <item m="1" x="172"/>
        <item m="1" x="216"/>
        <item x="23"/>
        <item x="37"/>
        <item x="25"/>
        <item m="1" x="168"/>
        <item m="1" x="164"/>
        <item x="48"/>
        <item m="1" x="159"/>
        <item m="1" x="122"/>
        <item x="49"/>
        <item m="1" x="175"/>
        <item m="1" x="236"/>
        <item x="67"/>
        <item m="1" x="269"/>
        <item m="1" x="190"/>
        <item m="1" x="237"/>
        <item x="43"/>
        <item x="80"/>
        <item x="75"/>
        <item m="1" x="169"/>
        <item x="26"/>
        <item m="1" x="244"/>
        <item x="61"/>
        <item m="1" x="147"/>
        <item x="31"/>
        <item m="1" x="185"/>
        <item m="1" x="311"/>
        <item m="1" x="209"/>
        <item x="1"/>
        <item m="1" x="232"/>
        <item x="65"/>
        <item m="1" x="177"/>
        <item x="72"/>
        <item m="1" x="314"/>
        <item m="1" x="293"/>
        <item m="1" x="233"/>
        <item m="1" x="302"/>
        <item m="1" x="299"/>
        <item m="1" x="286"/>
        <item m="1" x="240"/>
        <item m="1" x="266"/>
        <item m="1" x="270"/>
        <item m="1" x="291"/>
        <item m="1" x="152"/>
        <item m="1" x="310"/>
        <item m="1" x="100"/>
        <item m="1" x="249"/>
        <item m="1" x="113"/>
        <item m="1" x="222"/>
        <item m="1" x="290"/>
        <item m="1" x="198"/>
        <item m="1" x="273"/>
        <item m="1" x="174"/>
        <item m="1" x="275"/>
        <item m="1" x="120"/>
        <item m="1" x="226"/>
        <item x="16"/>
        <item m="1" x="217"/>
        <item m="1" x="250"/>
        <item m="1" x="192"/>
        <item m="1" x="292"/>
        <item m="1" x="285"/>
        <item m="1" x="281"/>
        <item m="1" x="154"/>
        <item m="1" x="99"/>
        <item m="1" x="90"/>
        <item m="1" x="257"/>
        <item m="1" x="109"/>
        <item m="1" x="130"/>
        <item m="1" x="205"/>
        <item m="1" x="321"/>
        <item m="1" x="307"/>
        <item m="1" x="225"/>
        <item x="0"/>
        <item m="1" x="303"/>
        <item m="1" x="284"/>
        <item m="1" x="94"/>
        <item m="1" x="98"/>
        <item m="1" x="116"/>
        <item m="1" x="235"/>
        <item m="1" x="118"/>
        <item m="1" x="132"/>
        <item m="1" x="123"/>
        <item m="1" x="280"/>
        <item m="1" x="211"/>
        <item m="1" x="207"/>
        <item m="1" x="317"/>
        <item x="55"/>
        <item m="1" x="106"/>
        <item m="1" x="102"/>
        <item m="1" x="183"/>
        <item x="66"/>
        <item m="1" x="166"/>
        <item m="1" x="126"/>
        <item x="51"/>
        <item m="1" x="263"/>
        <item m="1" x="170"/>
        <item x="76"/>
        <item x="83"/>
        <item m="1" x="129"/>
        <item x="41"/>
        <item x="82"/>
        <item m="1" x="204"/>
        <item m="1" x="241"/>
        <item m="1" x="295"/>
        <item m="1" x="213"/>
        <item m="1" x="312"/>
        <item m="1" x="197"/>
        <item x="22"/>
        <item x="14"/>
        <item m="1" x="203"/>
        <item m="1" x="224"/>
        <item m="1" x="163"/>
        <item m="1" x="282"/>
        <item m="1" x="206"/>
        <item m="1" x="219"/>
        <item m="1" x="220"/>
        <item m="1" x="212"/>
        <item m="1" x="215"/>
        <item m="1" x="288"/>
        <item m="1" x="208"/>
        <item m="1" x="308"/>
        <item m="1" x="136"/>
        <item m="1" x="141"/>
        <item m="1" x="298"/>
        <item m="1" x="137"/>
        <item m="1" x="111"/>
        <item m="1" x="131"/>
        <item m="1" x="142"/>
        <item m="1" x="143"/>
        <item x="47"/>
        <item m="1" x="188"/>
        <item m="1" x="319"/>
        <item x="68"/>
        <item m="1" x="150"/>
        <item m="1" x="231"/>
        <item m="1" x="277"/>
        <item m="1" x="101"/>
        <item x="57"/>
        <item m="1" x="199"/>
        <item m="1" x="145"/>
        <item m="1" x="316"/>
        <item x="84"/>
        <item m="1" x="210"/>
        <item m="1" x="171"/>
        <item m="1" x="151"/>
        <item m="1" x="306"/>
        <item m="1" x="261"/>
        <item x="39"/>
        <item x="86"/>
        <item m="1" x="218"/>
        <item x="64"/>
        <item m="1" x="287"/>
        <item m="1" x="187"/>
        <item x="60"/>
        <item x="28"/>
        <item m="1" x="283"/>
        <item m="1" x="297"/>
        <item m="1" x="186"/>
        <item m="1" x="97"/>
        <item m="1" x="119"/>
        <item x="19"/>
        <item m="1" x="229"/>
        <item x="9"/>
        <item m="1" x="127"/>
        <item m="1" x="134"/>
        <item x="34"/>
        <item m="1" x="214"/>
        <item x="29"/>
        <item m="1" x="144"/>
        <item x="15"/>
        <item x="17"/>
        <item m="1" x="265"/>
        <item x="36"/>
        <item x="33"/>
        <item x="54"/>
        <item x="35"/>
        <item m="1" x="191"/>
        <item x="32"/>
        <item x="74"/>
        <item m="1" x="139"/>
        <item x="12"/>
        <item m="1" x="88"/>
        <item m="1" x="135"/>
        <item m="1" x="157"/>
        <item m="1" x="239"/>
        <item m="1" x="304"/>
        <item m="1" x="149"/>
        <item m="1" x="202"/>
        <item m="1" x="133"/>
        <item m="1" x="153"/>
        <item x="24"/>
        <item m="1" x="114"/>
        <item m="1" x="247"/>
        <item x="73"/>
        <item x="13"/>
        <item x="50"/>
        <item x="78"/>
        <item x="21"/>
        <item m="1" x="320"/>
        <item m="1" x="181"/>
        <item m="1" x="256"/>
        <item m="1" x="221"/>
        <item x="45"/>
        <item m="1" x="146"/>
        <item x="5"/>
        <item m="1" x="107"/>
        <item x="46"/>
        <item m="1" x="252"/>
        <item x="2"/>
        <item x="79"/>
        <item m="1" x="158"/>
        <item x="59"/>
        <item m="1" x="259"/>
        <item x="3"/>
        <item m="1" x="160"/>
        <item x="63"/>
        <item m="1" x="274"/>
        <item m="1" x="223"/>
        <item m="1" x="276"/>
        <item x="58"/>
        <item m="1" x="245"/>
        <item m="1" x="124"/>
        <item m="1" x="155"/>
        <item m="1" x="87"/>
        <item m="1" x="128"/>
        <item m="1" x="279"/>
        <item m="1" x="322"/>
        <item x="38"/>
        <item m="1" x="260"/>
        <item m="1" x="173"/>
        <item m="1" x="227"/>
        <item x="56"/>
        <item m="1" x="148"/>
        <item x="77"/>
        <item m="1" x="305"/>
        <item m="1" x="195"/>
        <item t="default"/>
      </items>
    </pivotField>
    <pivotField showAll="0">
      <items count="8">
        <item x="0"/>
        <item x="2"/>
        <item x="1"/>
        <item x="3"/>
        <item x="4"/>
        <item x="5"/>
        <item m="1" x="6"/>
        <item t="default"/>
      </items>
    </pivotField>
    <pivotField numFmtId="14" showAll="0">
      <items count="1187"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6"/>
        <item m="1" x="445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3"/>
        <item m="1" x="544"/>
        <item m="1" x="542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7"/>
        <item m="1" x="586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1185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1184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1183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5"/>
        <item m="1" x="874"/>
        <item m="1" x="876"/>
        <item m="1" x="877"/>
        <item m="1" x="878"/>
        <item m="1" x="879"/>
        <item m="1" x="11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1180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1181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1176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1177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1178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20"/>
        <item m="1" x="1022"/>
        <item m="1" x="1021"/>
        <item m="1" x="1023"/>
        <item m="1" x="1024"/>
        <item m="1" x="1025"/>
        <item m="1" x="1019"/>
        <item m="1" x="117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x="0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x="1"/>
        <item m="1" x="1078"/>
        <item m="1" x="1079"/>
        <item m="1" x="1174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x="2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82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x="3"/>
        <item m="1" x="1127"/>
        <item m="1" x="1128"/>
        <item x="18"/>
        <item m="1" x="1129"/>
        <item m="1" x="1130"/>
        <item m="1" x="1131"/>
        <item m="1" x="1132"/>
        <item m="1" x="1133"/>
        <item m="1" x="1134"/>
        <item m="1" x="1135"/>
        <item m="1" x="1136"/>
        <item m="1" x="1173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x="4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x="5"/>
        <item x="6"/>
        <item x="7"/>
        <item x="8"/>
        <item x="9"/>
        <item x="10"/>
        <item x="11"/>
        <item x="12"/>
        <item x="13"/>
        <item x="14"/>
        <item x="15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16"/>
        <item m="1" x="1171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1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5"/>
        <item x="74"/>
        <item x="76"/>
        <item x="77"/>
        <item x="78"/>
        <item x="79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102"/>
        <item x="103"/>
        <item x="80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9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99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m="1" x="427"/>
        <item x="174"/>
        <item x="100"/>
        <item x="175"/>
        <item x="176"/>
        <item x="177"/>
        <item x="178"/>
        <item x="179"/>
        <item x="180"/>
        <item x="181"/>
        <item x="182"/>
        <item x="184"/>
        <item x="183"/>
        <item m="1" x="428"/>
        <item x="185"/>
        <item x="186"/>
        <item x="187"/>
        <item x="188"/>
        <item x="189"/>
        <item x="190"/>
        <item x="191"/>
        <item x="192"/>
        <item x="193"/>
        <item x="194"/>
        <item x="101"/>
        <item x="195"/>
        <item x="196"/>
        <item x="198"/>
        <item x="197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2"/>
        <item x="211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8"/>
        <item x="237"/>
        <item x="239"/>
        <item x="240"/>
        <item x="241"/>
        <item x="242"/>
        <item x="243"/>
        <item x="244"/>
        <item x="245"/>
        <item x="246"/>
        <item x="247"/>
        <item m="1" x="424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m="1" x="426"/>
        <item x="260"/>
        <item x="259"/>
        <item x="261"/>
        <item x="262"/>
        <item x="263"/>
        <item x="265"/>
        <item x="264"/>
        <item x="266"/>
        <item m="1" x="423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m="1" x="1172"/>
        <item x="284"/>
        <item x="285"/>
        <item x="286"/>
        <item m="1" x="425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6"/>
        <item x="365"/>
        <item x="367"/>
        <item x="368"/>
        <item x="369"/>
        <item x="370"/>
        <item x="371"/>
        <item x="372"/>
        <item x="373"/>
        <item x="374"/>
        <item x="375"/>
        <item x="376"/>
        <item x="378"/>
        <item x="377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8"/>
        <item x="415"/>
        <item x="419"/>
        <item x="416"/>
        <item x="417"/>
        <item x="420"/>
        <item x="421"/>
        <item x="422"/>
        <item t="default"/>
      </items>
    </pivotField>
    <pivotField numFmtId="1" showAll="0"/>
    <pivotField showAll="0"/>
    <pivotField showAll="0"/>
    <pivotField numFmtId="43" showAll="0"/>
    <pivotField showAll="0"/>
    <pivotField showAll="0"/>
    <pivotField axis="axisRow" showAll="0">
      <items count="158">
        <item x="16"/>
        <item x="54"/>
        <item x="14"/>
        <item x="21"/>
        <item m="1" x="137"/>
        <item m="1" x="135"/>
        <item m="1" x="120"/>
        <item m="1" x="129"/>
        <item x="15"/>
        <item m="1" x="128"/>
        <item m="1" x="150"/>
        <item x="20"/>
        <item x="5"/>
        <item m="1" x="125"/>
        <item x="18"/>
        <item m="1" x="154"/>
        <item x="38"/>
        <item x="1"/>
        <item m="1" x="82"/>
        <item x="19"/>
        <item m="1" x="131"/>
        <item m="1" x="140"/>
        <item x="12"/>
        <item m="1" x="108"/>
        <item x="32"/>
        <item x="17"/>
        <item m="1" x="141"/>
        <item m="1" x="146"/>
        <item m="1" x="151"/>
        <item m="1" x="75"/>
        <item x="47"/>
        <item m="1" x="76"/>
        <item m="1" x="147"/>
        <item m="1" x="143"/>
        <item x="23"/>
        <item x="11"/>
        <item m="1" x="121"/>
        <item m="1" x="93"/>
        <item x="4"/>
        <item m="1" x="117"/>
        <item m="1" x="148"/>
        <item x="51"/>
        <item x="42"/>
        <item m="1" x="156"/>
        <item x="30"/>
        <item m="1" x="119"/>
        <item x="55"/>
        <item x="44"/>
        <item m="1" x="118"/>
        <item m="1" x="115"/>
        <item m="1" x="134"/>
        <item x="61"/>
        <item m="1" x="139"/>
        <item x="24"/>
        <item x="69"/>
        <item m="1" x="124"/>
        <item x="28"/>
        <item m="1" x="142"/>
        <item x="52"/>
        <item m="1" x="123"/>
        <item m="1" x="73"/>
        <item x="25"/>
        <item m="1" x="153"/>
        <item m="1" x="77"/>
        <item x="8"/>
        <item m="1" x="145"/>
        <item m="1" x="144"/>
        <item m="1" x="116"/>
        <item m="1" x="133"/>
        <item m="1" x="149"/>
        <item m="1" x="122"/>
        <item m="1" x="152"/>
        <item m="1" x="138"/>
        <item m="1" x="92"/>
        <item x="33"/>
        <item m="1" x="126"/>
        <item m="1" x="155"/>
        <item m="1" x="132"/>
        <item m="1" x="130"/>
        <item m="1" x="78"/>
        <item x="40"/>
        <item x="10"/>
        <item x="13"/>
        <item m="1" x="114"/>
        <item m="1" x="79"/>
        <item m="1" x="80"/>
        <item m="1" x="81"/>
        <item m="1" x="83"/>
        <item m="1" x="85"/>
        <item m="1" x="84"/>
        <item x="49"/>
        <item m="1" x="86"/>
        <item m="1" x="89"/>
        <item x="36"/>
        <item m="1" x="136"/>
        <item m="1" x="87"/>
        <item m="1" x="94"/>
        <item m="1" x="96"/>
        <item x="35"/>
        <item m="1" x="88"/>
        <item m="1" x="90"/>
        <item m="1" x="127"/>
        <item m="1" x="91"/>
        <item x="7"/>
        <item m="1" x="95"/>
        <item m="1" x="97"/>
        <item x="41"/>
        <item x="70"/>
        <item m="1" x="99"/>
        <item m="1" x="103"/>
        <item x="45"/>
        <item m="1" x="98"/>
        <item m="1" x="100"/>
        <item m="1" x="105"/>
        <item m="1" x="102"/>
        <item m="1" x="101"/>
        <item m="1" x="104"/>
        <item m="1" x="106"/>
        <item x="50"/>
        <item x="37"/>
        <item x="48"/>
        <item m="1" x="107"/>
        <item x="0"/>
        <item m="1" x="109"/>
        <item m="1" x="110"/>
        <item m="1" x="112"/>
        <item x="2"/>
        <item m="1" x="111"/>
        <item m="1" x="113"/>
        <item x="9"/>
        <item x="6"/>
        <item x="68"/>
        <item x="22"/>
        <item x="43"/>
        <item x="3"/>
        <item x="31"/>
        <item x="26"/>
        <item x="34"/>
        <item x="27"/>
        <item x="29"/>
        <item x="39"/>
        <item x="46"/>
        <item x="53"/>
        <item x="59"/>
        <item x="56"/>
        <item x="57"/>
        <item x="58"/>
        <item m="1" x="74"/>
        <item x="60"/>
        <item x="62"/>
        <item x="67"/>
        <item x="63"/>
        <item x="64"/>
        <item x="65"/>
        <item x="66"/>
        <item x="71"/>
        <item x="72"/>
        <item t="default"/>
      </items>
    </pivotField>
    <pivotField showAll="0">
      <items count="9">
        <item h="1" x="0"/>
        <item h="1" m="1" x="6"/>
        <item h="1" m="1" x="4"/>
        <item x="1"/>
        <item h="1" m="1" x="5"/>
        <item h="1" m="1" x="3"/>
        <item h="1" m="1" x="7"/>
        <item h="1" x="2"/>
        <item t="default"/>
      </items>
    </pivotField>
    <pivotField showAll="0"/>
    <pivotField dataField="1" numFmtId="43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1"/>
  </rowFields>
  <rowItems count="21">
    <i>
      <x/>
    </i>
    <i>
      <x v="2"/>
    </i>
    <i>
      <x v="8"/>
    </i>
    <i>
      <x v="12"/>
    </i>
    <i>
      <x v="14"/>
    </i>
    <i>
      <x v="16"/>
    </i>
    <i>
      <x v="17"/>
    </i>
    <i>
      <x v="19"/>
    </i>
    <i>
      <x v="22"/>
    </i>
    <i>
      <x v="25"/>
    </i>
    <i>
      <x v="35"/>
    </i>
    <i>
      <x v="47"/>
    </i>
    <i>
      <x v="54"/>
    </i>
    <i>
      <x v="106"/>
    </i>
    <i>
      <x v="107"/>
    </i>
    <i>
      <x v="134"/>
    </i>
    <i>
      <x v="142"/>
    </i>
    <i>
      <x v="145"/>
    </i>
    <i>
      <x v="155"/>
    </i>
    <i>
      <x v="156"/>
    </i>
    <i t="grand">
      <x/>
    </i>
  </rowItems>
  <colItems count="1">
    <i/>
  </colItems>
  <dataFields count="1">
    <dataField name="Suma de DOLARES" fld="1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dateBetween" evalOrder="-1" id="64" name="Fecha de Vencimiento">
      <autoFilter ref="A1">
        <filterColumn colId="0">
          <customFilters and="1">
            <customFilter operator="greaterThanOrEqual" val="46082"/>
            <customFilter operator="lessThanOrEqual" val="46203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ODUCTO" xr10:uid="{00000000-0013-0000-FFFF-FFFF01000000}" sourceName="PRODUCTO">
  <pivotTables>
    <pivotTable tabId="7" name="TablaDinámica10"/>
    <pivotTable tabId="7" name="TablaDinámica7"/>
    <pivotTable tabId="7" name="TablaDinámica9"/>
    <pivotTable tabId="7" name="TablaDinámica1"/>
  </pivotTables>
  <data>
    <tabular pivotCacheId="1125768745">
      <items count="157">
        <i x="16" s="1"/>
        <i x="14" s="1"/>
        <i x="21" s="1"/>
        <i x="71" s="1"/>
        <i x="72" s="1"/>
        <i x="15" s="1"/>
        <i x="57" s="1"/>
        <i x="5" s="1"/>
        <i x="18" s="1"/>
        <i x="38" s="1"/>
        <i x="1" s="1"/>
        <i x="41" s="1"/>
        <i x="0" s="1"/>
        <i x="7" s="1"/>
        <i x="19" s="1"/>
        <i x="12" s="1"/>
        <i x="53" s="1"/>
        <i x="70" s="1"/>
        <i x="17" s="1"/>
        <i x="69" s="1"/>
        <i x="11" s="1"/>
        <i x="44" s="1"/>
        <i x="3" s="1"/>
        <i x="54" s="1" nd="1"/>
        <i x="29" s="1" nd="1"/>
        <i x="97" s="1" nd="1"/>
        <i x="74" s="1" nd="1"/>
        <i x="123" s="1" nd="1"/>
        <i x="133" s="1" nd="1"/>
        <i x="34" s="1" nd="1"/>
        <i x="89" s="1" nd="1"/>
        <i x="136" s="1" nd="1"/>
        <i x="2" s="1" nd="1"/>
        <i x="36" s="1" nd="1"/>
        <i x="137" s="1" nd="1"/>
        <i x="135" s="1" nd="1"/>
        <i x="33" s="1" nd="1"/>
        <i x="110" s="1" nd="1"/>
        <i x="68" s="1" nd="1"/>
        <i x="77" s="1" nd="1"/>
        <i x="105" s="1" nd="1"/>
        <i x="50" s="1" nd="1"/>
        <i x="10" s="1" nd="1"/>
        <i x="120" s="1" nd="1"/>
        <i x="66" s="1" nd="1"/>
        <i x="129" s="1" nd="1"/>
        <i x="63" s="1" nd="1"/>
        <i x="28" s="1" nd="1"/>
        <i x="90" s="1" nd="1"/>
        <i x="8" s="1" nd="1"/>
        <i x="128" s="1" nd="1"/>
        <i x="45" s="1" nd="1"/>
        <i x="9" s="1" nd="1"/>
        <i x="102" s="1" nd="1"/>
        <i x="150" s="1" nd="1"/>
        <i x="20" s="1" nd="1"/>
        <i x="111" s="1" nd="1"/>
        <i x="92" s="1" nd="1"/>
        <i x="125" s="1" nd="1"/>
        <i x="43" s="1" nd="1"/>
        <i x="122" s="1" nd="1"/>
        <i x="154" s="1" nd="1"/>
        <i x="116" s="1" nd="1"/>
        <i x="88" s="1" nd="1"/>
        <i x="106" s="1" nd="1"/>
        <i x="99" s="1" nd="1"/>
        <i x="82" s="1" nd="1"/>
        <i x="95" s="1" nd="1"/>
        <i x="127" s="1" nd="1"/>
        <i x="143" s="1" nd="1"/>
        <i x="91" s="1" nd="1"/>
        <i x="131" s="1" nd="1"/>
        <i x="130" s="1" nd="1"/>
        <i x="112" s="1" nd="1"/>
        <i x="59" s="1" nd="1"/>
        <i x="144" s="1" nd="1"/>
        <i x="83" s="1" nd="1"/>
        <i x="65" s="1" nd="1"/>
        <i x="126" s="1" nd="1"/>
        <i x="132" s="1" nd="1"/>
        <i x="155" s="1" nd="1"/>
        <i x="119" s="1" nd="1"/>
        <i x="148" s="1" nd="1"/>
        <i x="23" s="1" nd="1"/>
        <i x="152" s="1" nd="1"/>
        <i x="61" s="1" nd="1"/>
        <i x="55" s="1" nd="1"/>
        <i x="140" s="1" nd="1"/>
        <i x="80" s="1" nd="1"/>
        <i x="49" s="1" nd="1"/>
        <i x="117" s="1" nd="1"/>
        <i x="4" s="1" nd="1"/>
        <i x="42" s="1" nd="1"/>
        <i x="121" s="1" nd="1"/>
        <i x="24" s="1" nd="1"/>
        <i x="51" s="1" nd="1"/>
        <i x="64" s="1" nd="1"/>
        <i x="62" s="1" nd="1"/>
        <i x="104" s="1" nd="1"/>
        <i x="84" s="1" nd="1"/>
        <i x="81" s="1" nd="1"/>
        <i x="156" s="1" nd="1"/>
        <i x="107" s="1" nd="1"/>
        <i x="73" s="1" nd="1"/>
        <i x="35" s="1" nd="1"/>
        <i x="78" s="1" nd="1"/>
        <i x="93" s="1" nd="1"/>
        <i x="58" s="1" nd="1"/>
        <i x="113" s="1" nd="1"/>
        <i x="109" s="1" nd="1"/>
        <i x="108" s="1" nd="1"/>
        <i x="32" s="1" nd="1"/>
        <i x="118" s="1" nd="1"/>
        <i x="139" s="1" nd="1"/>
        <i x="31" s="1" nd="1"/>
        <i x="138" s="1" nd="1"/>
        <i x="27" s="1" nd="1"/>
        <i x="26" s="1" nd="1"/>
        <i x="25" s="1" nd="1"/>
        <i x="149" s="1" nd="1"/>
        <i x="100" s="1" nd="1"/>
        <i x="141" s="1" nd="1"/>
        <i x="86" s="1" nd="1"/>
        <i x="67" s="1" nd="1"/>
        <i x="146" s="1" nd="1"/>
        <i x="151" s="1" nd="1"/>
        <i x="115" s="1" nd="1"/>
        <i x="60" s="1" nd="1"/>
        <i x="56" s="1" nd="1"/>
        <i x="101" s="1" nd="1"/>
        <i x="98" s="1" nd="1"/>
        <i x="96" s="1" nd="1"/>
        <i x="6" s="1" nd="1"/>
        <i x="40" s="1" nd="1"/>
        <i x="75" s="1" nd="1"/>
        <i x="79" s="1" nd="1"/>
        <i x="145" s="1" nd="1"/>
        <i x="134" s="1" nd="1"/>
        <i x="124" s="1" nd="1"/>
        <i x="37" s="1" nd="1"/>
        <i x="47" s="1" nd="1"/>
        <i x="30" s="1" nd="1"/>
        <i x="142" s="1" nd="1"/>
        <i x="13" s="1" nd="1"/>
        <i x="94" s="1" nd="1"/>
        <i x="76" s="1" nd="1"/>
        <i x="48" s="1" nd="1"/>
        <i x="46" s="1" nd="1"/>
        <i x="52" s="1" nd="1"/>
        <i x="103" s="1" nd="1"/>
        <i x="153" s="1" nd="1"/>
        <i x="85" s="1" nd="1"/>
        <i x="39" s="1" nd="1"/>
        <i x="87" s="1" nd="1"/>
        <i x="147" s="1" nd="1"/>
        <i x="22" s="1" nd="1"/>
        <i x="114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ONDICION_DEUDA" xr10:uid="{00000000-0013-0000-FFFF-FFFF02000000}" sourceName="CONDICION DEUDA">
  <pivotTables>
    <pivotTable tabId="7" name="TablaDinámica10"/>
    <pivotTable tabId="7" name="TablaDinámica7"/>
    <pivotTable tabId="7" name="TablaDinámica9"/>
    <pivotTable tabId="7" name="TablaDinámica1"/>
  </pivotTables>
  <data>
    <tabular pivotCacheId="1125768745">
      <items count="8">
        <i x="0"/>
        <i x="1" s="1"/>
        <i x="2"/>
        <i x="6" nd="1"/>
        <i x="4" nd="1"/>
        <i x="5" nd="1"/>
        <i x="3" nd="1"/>
        <i x="7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GIRADOR" xr10:uid="{00000000-0013-0000-FFFF-FFFF03000000}" sourceName="GIRADOR">
  <pivotTables>
    <pivotTable tabId="7" name="TablaDinámica7"/>
    <pivotTable tabId="7" name="TablaDinámica10"/>
    <pivotTable tabId="7" name="TablaDinámica9"/>
    <pivotTable tabId="7" name="TablaDinámica1"/>
  </pivotTables>
  <data>
    <tabular pivotCacheId="1125768745">
      <items count="325">
        <i x="18" s="1"/>
        <i x="6" s="1"/>
        <i x="11" s="1"/>
        <i x="44" s="1"/>
        <i x="40" s="1"/>
        <i x="85" s="1"/>
        <i x="53" s="1"/>
        <i x="23" s="1"/>
        <i x="48" s="1"/>
        <i x="43" s="1"/>
        <i x="80" s="1"/>
        <i x="1" s="1"/>
        <i x="72" s="1"/>
        <i x="0" s="1"/>
        <i x="66" s="1"/>
        <i x="51" s="1"/>
        <i x="83" s="1"/>
        <i x="22" s="1"/>
        <i x="84" s="1"/>
        <i x="39" s="1"/>
        <i x="86" s="1"/>
        <i x="28" s="1"/>
        <i x="19" s="1"/>
        <i x="29" s="1"/>
        <i x="15" s="1"/>
        <i x="33" s="1"/>
        <i x="54" s="1"/>
        <i x="35" s="1"/>
        <i x="73" s="1"/>
        <i x="45" s="1"/>
        <i x="2" s="1"/>
        <i x="3" s="1"/>
        <i x="38" s="1"/>
        <i x="179" s="1" nd="1"/>
        <i x="194" s="1" nd="1"/>
        <i x="196" s="1" nd="1"/>
        <i x="70" s="1" nd="1"/>
        <i x="4" s="1" nd="1"/>
        <i x="71" s="1" nd="1"/>
        <i x="8" s="1" nd="1"/>
        <i x="110" s="1" nd="1"/>
        <i x="301" s="1" nd="1"/>
        <i x="228" s="1" nd="1"/>
        <i x="62" s="1" nd="1"/>
        <i x="238" s="1" nd="1"/>
        <i x="324" s="1" nd="1"/>
        <i x="91" s="1" nd="1"/>
        <i x="255" s="1" nd="1"/>
        <i x="20" s="1" nd="1"/>
        <i x="313" s="1" nd="1"/>
        <i x="42" s="1" nd="1"/>
        <i x="323" s="1" nd="1"/>
        <i x="178" s="1" nd="1"/>
        <i x="309" s="1" nd="1"/>
        <i x="296" s="1" nd="1"/>
        <i x="140" s="1" nd="1"/>
        <i x="92" s="1" nd="1"/>
        <i x="105" s="1" nd="1"/>
        <i x="104" s="1" nd="1"/>
        <i x="96" s="1" nd="1"/>
        <i x="89" s="1" nd="1"/>
        <i x="243" s="1" nd="1"/>
        <i x="69" s="1" nd="1"/>
        <i x="230" s="1" nd="1"/>
        <i x="200" s="1" nd="1"/>
        <i x="234" s="1" nd="1"/>
        <i x="289" s="1" nd="1"/>
        <i x="267" s="1" nd="1"/>
        <i x="248" s="1" nd="1"/>
        <i x="262" s="1" nd="1"/>
        <i x="264" s="1" nd="1"/>
        <i x="246" s="1" nd="1"/>
        <i x="242" s="1" nd="1"/>
        <i x="167" s="1" nd="1"/>
        <i x="81" s="1" nd="1"/>
        <i x="318" s="1" nd="1"/>
        <i x="27" s="1" nd="1"/>
        <i x="193" s="1" nd="1"/>
        <i x="272" s="1" nd="1"/>
        <i x="189" s="1" nd="1"/>
        <i x="184" s="1" nd="1"/>
        <i x="180" s="1" nd="1"/>
        <i x="162" s="1" nd="1"/>
        <i x="10" s="1" nd="1"/>
        <i x="294" s="1" nd="1"/>
        <i x="176" s="1" nd="1"/>
        <i x="30" s="1" nd="1"/>
        <i x="253" s="1" nd="1"/>
        <i x="112" s="1" nd="1"/>
        <i x="251" s="1" nd="1"/>
        <i x="125" s="1" nd="1"/>
        <i x="201" s="1" nd="1"/>
        <i x="271" s="1" nd="1"/>
        <i x="156" s="1" nd="1"/>
        <i x="7" s="1" nd="1"/>
        <i x="278" s="1" nd="1"/>
        <i x="254" s="1" nd="1"/>
        <i x="95" s="1" nd="1"/>
        <i x="103" s="1" nd="1"/>
        <i x="300" s="1" nd="1"/>
        <i x="117" s="1" nd="1"/>
        <i x="138" s="1" nd="1"/>
        <i x="268" s="1" nd="1"/>
        <i x="315" s="1" nd="1"/>
        <i x="121" s="1" nd="1"/>
        <i x="115" s="1" nd="1"/>
        <i x="108" s="1" nd="1"/>
        <i x="93" s="1" nd="1"/>
        <i x="258" s="1" nd="1"/>
        <i x="182" s="1" nd="1"/>
        <i x="165" s="1" nd="1"/>
        <i x="52" s="1" nd="1"/>
        <i x="161" s="1" nd="1"/>
        <i x="172" s="1" nd="1"/>
        <i x="216" s="1" nd="1"/>
        <i x="37" s="1" nd="1"/>
        <i x="25" s="1" nd="1"/>
        <i x="168" s="1" nd="1"/>
        <i x="164" s="1" nd="1"/>
        <i x="159" s="1" nd="1"/>
        <i x="122" s="1" nd="1"/>
        <i x="49" s="1" nd="1"/>
        <i x="175" s="1" nd="1"/>
        <i x="236" s="1" nd="1"/>
        <i x="67" s="1" nd="1"/>
        <i x="269" s="1" nd="1"/>
        <i x="190" s="1" nd="1"/>
        <i x="237" s="1" nd="1"/>
        <i x="75" s="1" nd="1"/>
        <i x="169" s="1" nd="1"/>
        <i x="26" s="1" nd="1"/>
        <i x="244" s="1" nd="1"/>
        <i x="61" s="1" nd="1"/>
        <i x="147" s="1" nd="1"/>
        <i x="31" s="1" nd="1"/>
        <i x="185" s="1" nd="1"/>
        <i x="311" s="1" nd="1"/>
        <i x="209" s="1" nd="1"/>
        <i x="232" s="1" nd="1"/>
        <i x="65" s="1" nd="1"/>
        <i x="177" s="1" nd="1"/>
        <i x="314" s="1" nd="1"/>
        <i x="293" s="1" nd="1"/>
        <i x="233" s="1" nd="1"/>
        <i x="302" s="1" nd="1"/>
        <i x="299" s="1" nd="1"/>
        <i x="286" s="1" nd="1"/>
        <i x="240" s="1" nd="1"/>
        <i x="266" s="1" nd="1"/>
        <i x="270" s="1" nd="1"/>
        <i x="291" s="1" nd="1"/>
        <i x="152" s="1" nd="1"/>
        <i x="310" s="1" nd="1"/>
        <i x="100" s="1" nd="1"/>
        <i x="249" s="1" nd="1"/>
        <i x="113" s="1" nd="1"/>
        <i x="222" s="1" nd="1"/>
        <i x="290" s="1" nd="1"/>
        <i x="198" s="1" nd="1"/>
        <i x="273" s="1" nd="1"/>
        <i x="174" s="1" nd="1"/>
        <i x="275" s="1" nd="1"/>
        <i x="120" s="1" nd="1"/>
        <i x="226" s="1" nd="1"/>
        <i x="16" s="1" nd="1"/>
        <i x="217" s="1" nd="1"/>
        <i x="250" s="1" nd="1"/>
        <i x="192" s="1" nd="1"/>
        <i x="292" s="1" nd="1"/>
        <i x="285" s="1" nd="1"/>
        <i x="281" s="1" nd="1"/>
        <i x="154" s="1" nd="1"/>
        <i x="99" s="1" nd="1"/>
        <i x="90" s="1" nd="1"/>
        <i x="257" s="1" nd="1"/>
        <i x="109" s="1" nd="1"/>
        <i x="130" s="1" nd="1"/>
        <i x="205" s="1" nd="1"/>
        <i x="321" s="1" nd="1"/>
        <i x="307" s="1" nd="1"/>
        <i x="225" s="1" nd="1"/>
        <i x="303" s="1" nd="1"/>
        <i x="284" s="1" nd="1"/>
        <i x="94" s="1" nd="1"/>
        <i x="98" s="1" nd="1"/>
        <i x="116" s="1" nd="1"/>
        <i x="235" s="1" nd="1"/>
        <i x="118" s="1" nd="1"/>
        <i x="132" s="1" nd="1"/>
        <i x="123" s="1" nd="1"/>
        <i x="280" s="1" nd="1"/>
        <i x="211" s="1" nd="1"/>
        <i x="207" s="1" nd="1"/>
        <i x="317" s="1" nd="1"/>
        <i x="55" s="1" nd="1"/>
        <i x="106" s="1" nd="1"/>
        <i x="102" s="1" nd="1"/>
        <i x="183" s="1" nd="1"/>
        <i x="166" s="1" nd="1"/>
        <i x="126" s="1" nd="1"/>
        <i x="263" s="1" nd="1"/>
        <i x="170" s="1" nd="1"/>
        <i x="76" s="1" nd="1"/>
        <i x="129" s="1" nd="1"/>
        <i x="41" s="1" nd="1"/>
        <i x="82" s="1" nd="1"/>
        <i x="204" s="1" nd="1"/>
        <i x="241" s="1" nd="1"/>
        <i x="295" s="1" nd="1"/>
        <i x="213" s="1" nd="1"/>
        <i x="312" s="1" nd="1"/>
        <i x="197" s="1" nd="1"/>
        <i x="14" s="1" nd="1"/>
        <i x="203" s="1" nd="1"/>
        <i x="224" s="1" nd="1"/>
        <i x="163" s="1" nd="1"/>
        <i x="282" s="1" nd="1"/>
        <i x="206" s="1" nd="1"/>
        <i x="219" s="1" nd="1"/>
        <i x="220" s="1" nd="1"/>
        <i x="212" s="1" nd="1"/>
        <i x="215" s="1" nd="1"/>
        <i x="288" s="1" nd="1"/>
        <i x="208" s="1" nd="1"/>
        <i x="308" s="1" nd="1"/>
        <i x="136" s="1" nd="1"/>
        <i x="141" s="1" nd="1"/>
        <i x="298" s="1" nd="1"/>
        <i x="137" s="1" nd="1"/>
        <i x="111" s="1" nd="1"/>
        <i x="131" s="1" nd="1"/>
        <i x="142" s="1" nd="1"/>
        <i x="143" s="1" nd="1"/>
        <i x="47" s="1" nd="1"/>
        <i x="188" s="1" nd="1"/>
        <i x="319" s="1" nd="1"/>
        <i x="68" s="1" nd="1"/>
        <i x="150" s="1" nd="1"/>
        <i x="231" s="1" nd="1"/>
        <i x="277" s="1" nd="1"/>
        <i x="101" s="1" nd="1"/>
        <i x="57" s="1" nd="1"/>
        <i x="199" s="1" nd="1"/>
        <i x="145" s="1" nd="1"/>
        <i x="316" s="1" nd="1"/>
        <i x="210" s="1" nd="1"/>
        <i x="171" s="1" nd="1"/>
        <i x="151" s="1" nd="1"/>
        <i x="306" s="1" nd="1"/>
        <i x="261" s="1" nd="1"/>
        <i x="218" s="1" nd="1"/>
        <i x="64" s="1" nd="1"/>
        <i x="287" s="1" nd="1"/>
        <i x="187" s="1" nd="1"/>
        <i x="60" s="1" nd="1"/>
        <i x="283" s="1" nd="1"/>
        <i x="297" s="1" nd="1"/>
        <i x="186" s="1" nd="1"/>
        <i x="97" s="1" nd="1"/>
        <i x="119" s="1" nd="1"/>
        <i x="229" s="1" nd="1"/>
        <i x="9" s="1" nd="1"/>
        <i x="127" s="1" nd="1"/>
        <i x="134" s="1" nd="1"/>
        <i x="34" s="1" nd="1"/>
        <i x="214" s="1" nd="1"/>
        <i x="144" s="1" nd="1"/>
        <i x="17" s="1" nd="1"/>
        <i x="265" s="1" nd="1"/>
        <i x="36" s="1" nd="1"/>
        <i x="191" s="1" nd="1"/>
        <i x="32" s="1" nd="1"/>
        <i x="74" s="1" nd="1"/>
        <i x="139" s="1" nd="1"/>
        <i x="12" s="1" nd="1"/>
        <i x="88" s="1" nd="1"/>
        <i x="135" s="1" nd="1"/>
        <i x="157" s="1" nd="1"/>
        <i x="239" s="1" nd="1"/>
        <i x="304" s="1" nd="1"/>
        <i x="149" s="1" nd="1"/>
        <i x="202" s="1" nd="1"/>
        <i x="133" s="1" nd="1"/>
        <i x="153" s="1" nd="1"/>
        <i x="24" s="1" nd="1"/>
        <i x="114" s="1" nd="1"/>
        <i x="247" s="1" nd="1"/>
        <i x="13" s="1" nd="1"/>
        <i x="50" s="1" nd="1"/>
        <i x="78" s="1" nd="1"/>
        <i x="21" s="1" nd="1"/>
        <i x="320" s="1" nd="1"/>
        <i x="181" s="1" nd="1"/>
        <i x="256" s="1" nd="1"/>
        <i x="221" s="1" nd="1"/>
        <i x="146" s="1" nd="1"/>
        <i x="5" s="1" nd="1"/>
        <i x="107" s="1" nd="1"/>
        <i x="46" s="1" nd="1"/>
        <i x="252" s="1" nd="1"/>
        <i x="79" s="1" nd="1"/>
        <i x="158" s="1" nd="1"/>
        <i x="59" s="1" nd="1"/>
        <i x="259" s="1" nd="1"/>
        <i x="160" s="1" nd="1"/>
        <i x="63" s="1" nd="1"/>
        <i x="274" s="1" nd="1"/>
        <i x="223" s="1" nd="1"/>
        <i x="276" s="1" nd="1"/>
        <i x="58" s="1" nd="1"/>
        <i x="245" s="1" nd="1"/>
        <i x="124" s="1" nd="1"/>
        <i x="155" s="1" nd="1"/>
        <i x="87" s="1" nd="1"/>
        <i x="128" s="1" nd="1"/>
        <i x="279" s="1" nd="1"/>
        <i x="322" s="1" nd="1"/>
        <i x="260" s="1" nd="1"/>
        <i x="173" s="1" nd="1"/>
        <i x="227" s="1" nd="1"/>
        <i x="56" s="1" nd="1"/>
        <i x="148" s="1" nd="1"/>
        <i x="77" s="1" nd="1"/>
        <i x="305" s="1" nd="1"/>
        <i x="195" s="1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CEPTANTE" xr10:uid="{CFFB6FA5-0E29-45E3-868F-0D2CBDFAD372}" sourceName="ACEPTANTE">
  <pivotTables>
    <pivotTable tabId="7" name="TablaDinámica7"/>
    <pivotTable tabId="7" name="TablaDinámica10"/>
    <pivotTable tabId="7" name="TablaDinámica9"/>
    <pivotTable tabId="7" name="TablaDinámica1"/>
  </pivotTables>
  <data>
    <tabular pivotCacheId="1125768745">
      <items count="7">
        <i x="0" s="1"/>
        <i x="2" s="1"/>
        <i x="1" s="1"/>
        <i x="3" s="1"/>
        <i x="5" s="1"/>
        <i x="4" s="1" nd="1"/>
        <i x="6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O" xr10:uid="{00000000-0014-0000-FFFF-FFFF01000000}" cache="SegmentaciónDeDatos_PRODUCTO" caption="PRODUCTO" startItem="12" style="SlicerStyleLight6" rowHeight="251883"/>
  <slicer name="CONDICION DEUDA" xr10:uid="{00000000-0014-0000-FFFF-FFFF02000000}" cache="SegmentaciónDeDatos_CONDICION_DEUDA" caption="CONDICION DEUDA" style="SlicerStyleLight2" rowHeight="251883"/>
  <slicer name="GIRADOR" xr10:uid="{00000000-0014-0000-FFFF-FFFF03000000}" cache="SegmentaciónDeDatos_GIRADOR" caption="GIRADOR" rowHeight="257175"/>
  <slicer name="ACEPTANTE" xr10:uid="{9712D71B-5E71-435B-8667-331E5D2785DD}" cache="SegmentaciónDeDatos_ACEPTANTE" caption="ACEPTANTE" style="SlicerStyleOther1" rowHeight="262466"/>
</slicer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Fecha_de_Vencimiento" xr10:uid="{00000000-0013-0000-FFFF-FFFF04000000}" sourceName="Fecha de Vencimiento">
  <pivotTables>
    <pivotTable tabId="7" name="TablaDinámica10"/>
    <pivotTable tabId="7" name="TablaDinámica7"/>
    <pivotTable tabId="7" name="TablaDinámica9"/>
    <pivotTable tabId="7" name="TablaDinámica1"/>
  </pivotTables>
  <state minimalRefreshVersion="6" lastRefreshVersion="6" pivotCacheId="1125768745" filterType="dateBetween">
    <selection startDate="2026-03-01T00:00:00" endDate="2026-06-30T00:00:00"/>
    <bounds startDate="2022-01-01T00:00:00" endDate="2030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 de Vencimiento" xr10:uid="{00000000-0014-0000-FFFF-FFFF04000000}" cache="NativeTimeline_Fecha_de_Vencimiento" caption="Fecha de Vencimiento" level="2" selectionLevel="2" scrollPosition="2024-10-01T00:00:00"/>
</timeline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3.xml"/><Relationship Id="rId5" Type="http://schemas.openxmlformats.org/officeDocument/2006/relationships/printerSettings" Target="../printerSettings/printerSettings3.bin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142F7-FB3D-4B20-BF13-1A4A10FBA190}">
  <dimension ref="A1:AH69"/>
  <sheetViews>
    <sheetView tabSelected="1" topLeftCell="A2" zoomScale="73" zoomScaleNormal="70" workbookViewId="0">
      <selection activeCell="D10" sqref="D10"/>
    </sheetView>
  </sheetViews>
  <sheetFormatPr baseColWidth="10" defaultRowHeight="15.5" x14ac:dyDescent="0.35"/>
  <cols>
    <col min="1" max="8" width="15.58203125" customWidth="1"/>
    <col min="9" max="9" width="4.5" customWidth="1"/>
    <col min="10" max="10" width="15.58203125" customWidth="1"/>
    <col min="11" max="11" width="16" customWidth="1"/>
    <col min="12" max="17" width="15.58203125" customWidth="1"/>
    <col min="18" max="18" width="10.6640625" customWidth="1"/>
    <col min="19" max="19" width="15" customWidth="1"/>
    <col min="20" max="20" width="12" customWidth="1"/>
    <col min="21" max="21" width="11" bestFit="1" customWidth="1"/>
    <col min="22" max="22" width="12" customWidth="1"/>
    <col min="23" max="23" width="2.1640625" customWidth="1"/>
    <col min="24" max="25" width="15.58203125" customWidth="1"/>
    <col min="27" max="27" width="11.75" bestFit="1" customWidth="1"/>
    <col min="28" max="28" width="14" customWidth="1"/>
  </cols>
  <sheetData>
    <row r="1" spans="1:34" x14ac:dyDescent="0.35">
      <c r="A1" s="2"/>
      <c r="B1" s="2"/>
      <c r="C1" s="2"/>
      <c r="D1" s="85"/>
      <c r="E1" s="85"/>
      <c r="F1" s="128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x14ac:dyDescent="0.35">
      <c r="A2" s="44" t="s">
        <v>61</v>
      </c>
      <c r="B2" s="128"/>
      <c r="C2" s="44"/>
      <c r="D2" s="2"/>
      <c r="E2" s="2"/>
      <c r="F2" s="46"/>
      <c r="G2" s="2"/>
      <c r="H2" s="47">
        <f ca="1">+TODAY()</f>
        <v>46097</v>
      </c>
      <c r="I2" s="2"/>
      <c r="J2" s="2"/>
      <c r="K2" s="2"/>
      <c r="L2" s="2"/>
      <c r="M2" s="2"/>
      <c r="N2" s="2"/>
      <c r="O2" s="2"/>
      <c r="P2" s="48" t="s">
        <v>0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spans="1:34" ht="16" thickBot="1" x14ac:dyDescent="0.4">
      <c r="A3" s="2"/>
      <c r="B3" s="292" t="s">
        <v>1</v>
      </c>
      <c r="C3" s="292"/>
      <c r="D3" s="292"/>
      <c r="E3" s="292"/>
      <c r="F3" s="292"/>
      <c r="G3" s="292"/>
      <c r="H3" s="292"/>
      <c r="I3" s="49"/>
      <c r="J3" s="2" t="s">
        <v>116</v>
      </c>
      <c r="K3" s="50"/>
      <c r="L3" s="50"/>
      <c r="M3" s="50"/>
      <c r="N3" s="50"/>
      <c r="O3" s="50"/>
      <c r="P3" s="215" t="s">
        <v>2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4" ht="29.5" thickBot="1" x14ac:dyDescent="0.4">
      <c r="A4" s="2"/>
      <c r="B4" s="224" t="s">
        <v>62</v>
      </c>
      <c r="C4" s="147" t="s">
        <v>63</v>
      </c>
      <c r="D4" s="148" t="s">
        <v>64</v>
      </c>
      <c r="E4" s="51" t="s">
        <v>65</v>
      </c>
      <c r="F4" s="51" t="s">
        <v>66</v>
      </c>
      <c r="G4" s="51" t="s">
        <v>67</v>
      </c>
      <c r="H4" s="52" t="s">
        <v>68</v>
      </c>
      <c r="I4" s="53"/>
      <c r="J4" s="224" t="s">
        <v>62</v>
      </c>
      <c r="K4" s="221" t="s">
        <v>63</v>
      </c>
      <c r="L4" s="51" t="s">
        <v>64</v>
      </c>
      <c r="M4" s="51" t="s">
        <v>65</v>
      </c>
      <c r="N4" s="51" t="s">
        <v>66</v>
      </c>
      <c r="O4" s="51" t="s">
        <v>67</v>
      </c>
      <c r="P4" s="52" t="s">
        <v>68</v>
      </c>
      <c r="Q4" s="2"/>
      <c r="R4" s="297" t="s">
        <v>154</v>
      </c>
      <c r="S4" s="298"/>
      <c r="T4" s="298"/>
      <c r="U4" s="298"/>
      <c r="V4" s="299"/>
      <c r="W4" s="2"/>
      <c r="X4" s="301" t="s">
        <v>160</v>
      </c>
      <c r="Y4" s="301"/>
      <c r="Z4" s="301"/>
      <c r="AA4" s="301"/>
      <c r="AB4" s="301"/>
      <c r="AC4" s="2"/>
      <c r="AD4" s="2"/>
      <c r="AE4" s="2"/>
      <c r="AF4" s="2"/>
      <c r="AG4" s="2"/>
      <c r="AH4" s="2"/>
    </row>
    <row r="5" spans="1:34" x14ac:dyDescent="0.35">
      <c r="A5" s="54" t="s">
        <v>3</v>
      </c>
      <c r="B5" s="230">
        <v>117922</v>
      </c>
      <c r="C5" s="112"/>
      <c r="D5" s="114"/>
      <c r="E5" s="114"/>
      <c r="F5" s="116"/>
      <c r="G5" s="114">
        <v>19000</v>
      </c>
      <c r="H5" s="214">
        <f>+B5+C5+F5-D5-E5-G5</f>
        <v>98922</v>
      </c>
      <c r="I5" s="2"/>
      <c r="J5" s="231">
        <v>632</v>
      </c>
      <c r="K5" s="222"/>
      <c r="L5" s="156">
        <v>1264</v>
      </c>
      <c r="M5" s="157"/>
      <c r="N5" s="155"/>
      <c r="O5" s="157"/>
      <c r="P5" s="55">
        <f>+J5+N5+K5-L5-M5-O5</f>
        <v>-632</v>
      </c>
      <c r="Q5" s="2"/>
      <c r="R5" s="274" t="s">
        <v>90</v>
      </c>
      <c r="S5" s="275"/>
      <c r="T5" s="101" t="s">
        <v>91</v>
      </c>
      <c r="U5" s="101" t="s">
        <v>70</v>
      </c>
      <c r="V5" s="101" t="s">
        <v>92</v>
      </c>
      <c r="W5" s="2"/>
      <c r="X5" s="300" t="s">
        <v>90</v>
      </c>
      <c r="Y5" s="300"/>
      <c r="Z5" s="101" t="s">
        <v>91</v>
      </c>
      <c r="AA5" s="101" t="s">
        <v>70</v>
      </c>
      <c r="AB5" s="101" t="s">
        <v>92</v>
      </c>
      <c r="AC5" s="2"/>
      <c r="AD5" s="2"/>
      <c r="AE5" s="2"/>
      <c r="AF5" s="2"/>
      <c r="AG5" s="2"/>
      <c r="AH5" s="2"/>
    </row>
    <row r="6" spans="1:34" x14ac:dyDescent="0.35">
      <c r="A6" s="56" t="s">
        <v>4</v>
      </c>
      <c r="B6" s="230">
        <v>39224</v>
      </c>
      <c r="C6" s="112"/>
      <c r="D6" s="114"/>
      <c r="E6" s="114"/>
      <c r="F6" s="116"/>
      <c r="G6" s="114">
        <v>10000</v>
      </c>
      <c r="H6" s="214">
        <f>+B6+C6+F6-D6-E6-G6</f>
        <v>29224</v>
      </c>
      <c r="I6" s="2"/>
      <c r="J6" s="231">
        <v>251</v>
      </c>
      <c r="K6" s="222"/>
      <c r="L6" s="156"/>
      <c r="M6" s="119"/>
      <c r="N6" s="120"/>
      <c r="O6" s="157"/>
      <c r="P6" s="55">
        <f>+J6+K6-L6-M6+N6-O6</f>
        <v>251</v>
      </c>
      <c r="Q6" s="2"/>
      <c r="R6" s="279" t="s">
        <v>94</v>
      </c>
      <c r="S6" s="280"/>
      <c r="T6" s="99">
        <v>100000</v>
      </c>
      <c r="U6" s="99">
        <v>42554</v>
      </c>
      <c r="V6" s="100">
        <f>+T6-U6</f>
        <v>57446</v>
      </c>
      <c r="W6" s="2"/>
      <c r="X6" s="302" t="s">
        <v>94</v>
      </c>
      <c r="Y6" s="302"/>
      <c r="Z6" s="99">
        <v>150000</v>
      </c>
      <c r="AA6" s="99">
        <f>5699.99/(3.75)</f>
        <v>1519.9973333333332</v>
      </c>
      <c r="AB6" s="100">
        <f>+Z6-AA6</f>
        <v>148480.00266666667</v>
      </c>
      <c r="AC6" s="2"/>
      <c r="AD6" s="2">
        <f>46756/3.75</f>
        <v>12468.266666666666</v>
      </c>
      <c r="AE6" s="2"/>
      <c r="AF6" s="2"/>
      <c r="AG6" s="2"/>
      <c r="AH6" s="2"/>
    </row>
    <row r="7" spans="1:34" x14ac:dyDescent="0.35">
      <c r="A7" s="57" t="s">
        <v>69</v>
      </c>
      <c r="B7" s="271">
        <v>2622</v>
      </c>
      <c r="C7" s="112"/>
      <c r="D7" s="115"/>
      <c r="E7" s="114"/>
      <c r="F7" s="116"/>
      <c r="G7" s="114"/>
      <c r="H7" s="214">
        <f>+B7+C7+F7-D7-E7-G7</f>
        <v>2622</v>
      </c>
      <c r="I7" s="2"/>
      <c r="J7" s="225"/>
      <c r="K7" s="223"/>
      <c r="L7" s="119"/>
      <c r="M7" s="119"/>
      <c r="N7" s="120"/>
      <c r="O7" s="119"/>
      <c r="P7" s="55">
        <f>+J7+K7-L7-M7+N7-O7</f>
        <v>0</v>
      </c>
      <c r="Q7" s="2"/>
      <c r="R7" s="279" t="s">
        <v>95</v>
      </c>
      <c r="S7" s="280"/>
      <c r="T7" s="99">
        <v>250000</v>
      </c>
      <c r="U7" s="99">
        <v>130000</v>
      </c>
      <c r="V7" s="100">
        <f>+T7-U7</f>
        <v>120000</v>
      </c>
      <c r="W7" s="2"/>
      <c r="X7" s="302" t="s">
        <v>95</v>
      </c>
      <c r="Y7" s="302"/>
      <c r="Z7" s="99">
        <v>200000</v>
      </c>
      <c r="AA7" s="99">
        <v>119825</v>
      </c>
      <c r="AB7" s="100">
        <f>+Z7-AA7</f>
        <v>80175</v>
      </c>
      <c r="AC7" s="2"/>
      <c r="AD7" s="2"/>
      <c r="AE7" s="2"/>
      <c r="AF7" s="2"/>
      <c r="AG7" s="2"/>
      <c r="AH7" s="2"/>
    </row>
    <row r="8" spans="1:34" ht="16" thickBot="1" x14ac:dyDescent="0.4">
      <c r="A8" s="58" t="s">
        <v>111</v>
      </c>
      <c r="B8" s="272">
        <v>3685</v>
      </c>
      <c r="C8" s="112"/>
      <c r="D8" s="115"/>
      <c r="E8" s="114"/>
      <c r="F8" s="116"/>
      <c r="G8" s="114"/>
      <c r="H8" s="214">
        <f>+B8+C8+F8-D8-E8-G8</f>
        <v>3685</v>
      </c>
      <c r="I8" s="2"/>
      <c r="J8" s="226"/>
      <c r="K8" s="223"/>
      <c r="L8" s="119"/>
      <c r="M8" s="119"/>
      <c r="N8" s="120"/>
      <c r="O8" s="119"/>
      <c r="P8" s="55">
        <f>+J8+K8-L8-M8+N8-O8</f>
        <v>0</v>
      </c>
      <c r="Q8" s="2"/>
      <c r="R8" s="96"/>
      <c r="S8" s="176" t="s">
        <v>156</v>
      </c>
      <c r="T8" s="98">
        <v>300000</v>
      </c>
      <c r="U8" s="98">
        <f>SUM(U6:U7)</f>
        <v>172554</v>
      </c>
      <c r="V8" s="98"/>
      <c r="W8" s="2"/>
      <c r="X8" s="2"/>
      <c r="AC8" s="2"/>
      <c r="AD8" s="2"/>
      <c r="AE8" s="2"/>
      <c r="AF8" s="2"/>
      <c r="AG8" s="2"/>
      <c r="AH8" s="2"/>
    </row>
    <row r="9" spans="1:34" x14ac:dyDescent="0.35">
      <c r="A9" s="60" t="s">
        <v>71</v>
      </c>
      <c r="B9" s="2"/>
      <c r="C9" s="2"/>
      <c r="E9" s="82"/>
      <c r="F9" s="2"/>
      <c r="G9" s="2"/>
      <c r="H9" s="146">
        <f>+SUM(H5:H8)</f>
        <v>134453</v>
      </c>
      <c r="I9" s="2"/>
      <c r="J9" s="2"/>
      <c r="K9" s="2"/>
      <c r="L9" s="2"/>
      <c r="M9" s="2"/>
      <c r="N9" s="2"/>
      <c r="O9" s="2"/>
      <c r="P9" s="90">
        <f>+SUM(P5:P8)</f>
        <v>-381</v>
      </c>
      <c r="Q9" s="2"/>
      <c r="R9" s="2"/>
      <c r="S9" s="178" t="s">
        <v>157</v>
      </c>
      <c r="T9" s="177">
        <f>+T8-U8</f>
        <v>127446</v>
      </c>
      <c r="U9" s="2"/>
      <c r="V9" s="2"/>
      <c r="W9" s="2"/>
      <c r="X9" s="2"/>
      <c r="Y9" s="121" t="s">
        <v>96</v>
      </c>
      <c r="Z9" s="122">
        <f>+SUM(Z6:Z7)</f>
        <v>350000</v>
      </c>
      <c r="AA9" s="122">
        <f>+SUM(AA6:AA7)</f>
        <v>121344.99733333333</v>
      </c>
      <c r="AB9" s="123">
        <f>+SUM(AB6:AB7)</f>
        <v>228655.00266666667</v>
      </c>
      <c r="AC9" s="2"/>
      <c r="AD9" s="2"/>
      <c r="AE9" s="2"/>
      <c r="AF9" s="2"/>
      <c r="AG9" s="2"/>
      <c r="AH9" s="2"/>
    </row>
    <row r="10" spans="1:34" x14ac:dyDescent="0.35">
      <c r="A10" s="87"/>
      <c r="B10" s="2"/>
      <c r="C10" s="75"/>
      <c r="D10" s="2"/>
      <c r="E10" s="82"/>
      <c r="F10" s="2"/>
      <c r="G10" s="2"/>
      <c r="H10" s="61"/>
      <c r="I10" s="2"/>
      <c r="J10" s="2"/>
      <c r="K10" s="2"/>
      <c r="L10" s="2"/>
      <c r="M10" s="2"/>
      <c r="N10" s="2"/>
      <c r="O10" s="2"/>
      <c r="P10" s="6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132" t="s">
        <v>122</v>
      </c>
      <c r="AC10" s="2"/>
      <c r="AD10" s="2"/>
      <c r="AE10" s="2"/>
      <c r="AF10" s="2"/>
      <c r="AG10" s="2"/>
      <c r="AH10" s="2"/>
    </row>
    <row r="11" spans="1:34" x14ac:dyDescent="0.35">
      <c r="A11" s="2"/>
      <c r="B11" s="2"/>
      <c r="C11" s="2"/>
      <c r="D11" s="2"/>
      <c r="E11" s="82"/>
      <c r="F11" s="2"/>
      <c r="G11" s="2"/>
      <c r="H11" s="2"/>
      <c r="I11" s="2"/>
      <c r="J11" s="2"/>
      <c r="K11" s="2"/>
      <c r="L11" s="2"/>
      <c r="M11" s="2"/>
      <c r="N11" s="2"/>
      <c r="O11" s="63"/>
      <c r="P11" s="62"/>
      <c r="Q11" s="2"/>
      <c r="R11" s="303" t="s">
        <v>155</v>
      </c>
      <c r="S11" s="304"/>
      <c r="T11" s="304"/>
      <c r="U11" s="304"/>
      <c r="V11" s="305"/>
      <c r="W11" s="2"/>
      <c r="X11" s="2"/>
      <c r="Y11" s="2"/>
      <c r="Z11" s="2"/>
      <c r="AA11" s="2"/>
      <c r="AB11" s="132" t="s">
        <v>123</v>
      </c>
      <c r="AC11" s="2"/>
      <c r="AD11" s="2"/>
      <c r="AE11" s="2"/>
      <c r="AF11" s="2"/>
      <c r="AG11" s="2"/>
      <c r="AH11" s="2"/>
    </row>
    <row r="12" spans="1:34" x14ac:dyDescent="0.35">
      <c r="A12" s="64" t="s">
        <v>72</v>
      </c>
      <c r="B12" s="65"/>
      <c r="C12" s="2"/>
      <c r="D12" s="2"/>
      <c r="F12" s="2"/>
      <c r="G12" s="2"/>
      <c r="H12" s="61">
        <f>+SUM(H14:H15)</f>
        <v>27997</v>
      </c>
      <c r="I12" s="2"/>
      <c r="J12" s="66"/>
      <c r="K12" s="2"/>
      <c r="L12" s="2"/>
      <c r="M12" s="2"/>
      <c r="N12" s="63"/>
      <c r="O12" s="63"/>
      <c r="P12" s="89">
        <f>+SUM(P14:P15)</f>
        <v>-1064</v>
      </c>
      <c r="Q12" s="2"/>
      <c r="R12" s="274" t="s">
        <v>90</v>
      </c>
      <c r="S12" s="275"/>
      <c r="T12" s="101" t="s">
        <v>91</v>
      </c>
      <c r="U12" s="101" t="s">
        <v>70</v>
      </c>
      <c r="V12" s="101" t="s">
        <v>92</v>
      </c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s="2" customFormat="1" ht="16" thickBot="1" x14ac:dyDescent="0.4">
      <c r="A13" s="49"/>
      <c r="B13" s="65"/>
      <c r="D13" s="82"/>
      <c r="E13" s="82"/>
      <c r="F13" s="163"/>
      <c r="H13" s="61"/>
      <c r="J13" s="66"/>
      <c r="N13" s="63"/>
      <c r="O13" s="63"/>
      <c r="P13" s="62"/>
      <c r="R13" s="279" t="s">
        <v>94</v>
      </c>
      <c r="S13" s="280"/>
      <c r="T13" s="99"/>
      <c r="U13" s="99">
        <v>21500</v>
      </c>
      <c r="V13" s="100">
        <f>+T13-U13</f>
        <v>-21500</v>
      </c>
    </row>
    <row r="14" spans="1:34" s="2" customFormat="1" x14ac:dyDescent="0.35">
      <c r="A14" s="54" t="s">
        <v>3</v>
      </c>
      <c r="B14" s="234">
        <v>39250</v>
      </c>
      <c r="C14" s="112"/>
      <c r="D14" s="114"/>
      <c r="E14" s="114"/>
      <c r="F14" s="116"/>
      <c r="G14" s="114">
        <f>11000+3000</f>
        <v>14000</v>
      </c>
      <c r="H14" s="214">
        <f>+B14+C14+F14-D14-E14-G14</f>
        <v>25250</v>
      </c>
      <c r="J14" s="233">
        <v>287</v>
      </c>
      <c r="K14" s="227"/>
      <c r="L14" s="119">
        <v>2175</v>
      </c>
      <c r="M14" s="119"/>
      <c r="N14" s="120"/>
      <c r="O14" s="119"/>
      <c r="P14" s="88">
        <f>+J14+K14-L14-M14+N14-O14</f>
        <v>-1888</v>
      </c>
      <c r="R14" s="279" t="s">
        <v>95</v>
      </c>
      <c r="S14" s="280"/>
      <c r="T14" s="99">
        <v>50000</v>
      </c>
      <c r="U14" s="99">
        <v>50000</v>
      </c>
      <c r="V14" s="100">
        <f>+T14-U14</f>
        <v>0</v>
      </c>
    </row>
    <row r="15" spans="1:34" s="2" customFormat="1" ht="16" thickBot="1" x14ac:dyDescent="0.4">
      <c r="A15" s="56" t="s">
        <v>4</v>
      </c>
      <c r="B15" s="229">
        <v>3247</v>
      </c>
      <c r="C15" s="112">
        <v>3000</v>
      </c>
      <c r="D15" s="114"/>
      <c r="E15" s="114"/>
      <c r="F15" s="116"/>
      <c r="G15" s="114">
        <v>3500</v>
      </c>
      <c r="H15" s="214">
        <f>+B15+C15+F15-D15-E15-G15</f>
        <v>2747</v>
      </c>
      <c r="J15" s="228">
        <v>824</v>
      </c>
      <c r="K15" s="227"/>
      <c r="L15" s="119"/>
      <c r="M15" s="119"/>
      <c r="N15" s="120"/>
      <c r="O15" s="119"/>
      <c r="P15" s="88">
        <f>+J15+K15-L15-M15+N15-O15</f>
        <v>824</v>
      </c>
      <c r="S15" s="176" t="s">
        <v>156</v>
      </c>
      <c r="T15" s="98">
        <f>+T13+T14</f>
        <v>50000</v>
      </c>
      <c r="V15" s="177">
        <f>+V14+V13</f>
        <v>-21500</v>
      </c>
    </row>
    <row r="16" spans="1:34" s="2" customFormat="1" x14ac:dyDescent="0.35">
      <c r="A16" s="49"/>
      <c r="B16" s="65"/>
      <c r="C16" s="142"/>
      <c r="D16" s="142"/>
      <c r="E16" s="142"/>
      <c r="F16" s="142"/>
      <c r="G16" s="142"/>
      <c r="H16" s="61"/>
      <c r="J16" s="66"/>
      <c r="N16" s="63"/>
      <c r="O16" s="63"/>
      <c r="P16" s="62"/>
    </row>
    <row r="17" spans="1:32" s="2" customFormat="1" x14ac:dyDescent="0.35">
      <c r="A17" s="49"/>
      <c r="B17" s="65"/>
      <c r="C17" s="142"/>
      <c r="E17" s="142"/>
      <c r="F17" s="142"/>
      <c r="G17" s="142"/>
      <c r="H17" s="61"/>
      <c r="J17" s="66"/>
      <c r="M17" s="154"/>
      <c r="N17" s="63"/>
      <c r="O17" s="63"/>
      <c r="P17" s="62"/>
    </row>
    <row r="18" spans="1:32" x14ac:dyDescent="0.35">
      <c r="A18" s="91" t="s">
        <v>60</v>
      </c>
      <c r="B18" s="65"/>
      <c r="C18" s="142"/>
      <c r="D18" s="2"/>
      <c r="E18" s="142"/>
      <c r="F18" s="142"/>
      <c r="G18" s="142"/>
      <c r="H18" s="92">
        <f>+SUM(H20:H21)</f>
        <v>208820</v>
      </c>
      <c r="I18" s="2"/>
      <c r="J18" s="66"/>
      <c r="K18" s="2"/>
      <c r="L18" s="2"/>
      <c r="M18" s="2"/>
      <c r="N18" s="63"/>
      <c r="O18" s="63"/>
      <c r="P18" s="93">
        <f>+SUM(P20:P21)</f>
        <v>17749.400000000001</v>
      </c>
      <c r="Q18" s="2"/>
      <c r="R18" s="2"/>
      <c r="S18" s="2"/>
      <c r="T18" s="2"/>
      <c r="U18" s="2"/>
      <c r="V18" s="2"/>
      <c r="X18" s="300" t="s">
        <v>117</v>
      </c>
      <c r="Y18" s="300"/>
      <c r="Z18" s="300"/>
      <c r="AA18" s="130">
        <f>+V22+AB9</f>
        <v>112047.00266666667</v>
      </c>
      <c r="AB18" s="2"/>
      <c r="AC18" s="2"/>
      <c r="AD18" s="2"/>
      <c r="AE18" s="2"/>
      <c r="AF18" s="2"/>
    </row>
    <row r="19" spans="1:32" s="2" customFormat="1" ht="16" thickBot="1" x14ac:dyDescent="0.4">
      <c r="A19" s="49"/>
      <c r="B19" s="65"/>
      <c r="C19" s="142"/>
      <c r="D19" s="142"/>
      <c r="E19" s="142"/>
      <c r="F19" s="142"/>
      <c r="G19" s="142"/>
      <c r="H19" s="61"/>
      <c r="J19" s="66"/>
      <c r="N19" s="63"/>
      <c r="O19" s="63"/>
      <c r="P19" s="62"/>
    </row>
    <row r="20" spans="1:32" s="2" customFormat="1" x14ac:dyDescent="0.35">
      <c r="A20" s="54" t="s">
        <v>3</v>
      </c>
      <c r="B20" s="234">
        <v>227274</v>
      </c>
      <c r="C20" s="112"/>
      <c r="D20" s="115">
        <f>1950+1800+1625</f>
        <v>5375</v>
      </c>
      <c r="E20" s="114"/>
      <c r="F20" s="116"/>
      <c r="G20" s="114">
        <v>18250</v>
      </c>
      <c r="H20" s="94">
        <f>+B20+C20+F20-D20-E20-G20</f>
        <v>203649</v>
      </c>
      <c r="J20" s="233">
        <v>18507</v>
      </c>
      <c r="K20" s="227"/>
      <c r="L20" s="119">
        <v>1026.5999999999999</v>
      </c>
      <c r="M20" s="119"/>
      <c r="N20" s="120"/>
      <c r="O20" s="119"/>
      <c r="P20" s="95">
        <f>+J20+K20-L20-M20+N20-O20</f>
        <v>17480.400000000001</v>
      </c>
      <c r="S20" s="102" t="s">
        <v>96</v>
      </c>
      <c r="T20" s="103">
        <f>+SUM(T6:T7)</f>
        <v>350000</v>
      </c>
      <c r="U20" s="103">
        <f>+SUM(U6:U7)</f>
        <v>172554</v>
      </c>
      <c r="V20" s="104">
        <f>+SUM(V6:V7)</f>
        <v>177446</v>
      </c>
    </row>
    <row r="21" spans="1:32" s="2" customFormat="1" ht="16" thickBot="1" x14ac:dyDescent="0.4">
      <c r="A21" s="56" t="s">
        <v>4</v>
      </c>
      <c r="B21" s="232">
        <v>10171</v>
      </c>
      <c r="C21" s="112"/>
      <c r="D21" s="115"/>
      <c r="E21" s="114"/>
      <c r="F21" s="116"/>
      <c r="G21" s="114">
        <v>5000</v>
      </c>
      <c r="H21" s="94">
        <f>+B21+C21+F21-D21-E21-G21</f>
        <v>5171</v>
      </c>
      <c r="J21" s="228">
        <v>269</v>
      </c>
      <c r="K21" s="223"/>
      <c r="L21" s="119"/>
      <c r="M21" s="119"/>
      <c r="N21" s="120"/>
      <c r="O21" s="119"/>
      <c r="P21" s="95">
        <f>+J21+K21-L21-M21+N21-O21</f>
        <v>269</v>
      </c>
      <c r="S21" s="96"/>
      <c r="T21" s="97"/>
      <c r="U21" s="97"/>
      <c r="V21" s="97"/>
    </row>
    <row r="22" spans="1:32" s="2" customFormat="1" x14ac:dyDescent="0.35">
      <c r="A22" s="49"/>
      <c r="B22" s="65"/>
      <c r="H22" s="61"/>
      <c r="J22" s="66"/>
      <c r="N22" s="63"/>
      <c r="O22" s="63"/>
      <c r="P22" s="62"/>
      <c r="S22" s="105" t="s">
        <v>97</v>
      </c>
      <c r="T22" s="106">
        <v>300000</v>
      </c>
      <c r="U22" s="106">
        <f>+SUM(U8:U20)</f>
        <v>416608</v>
      </c>
      <c r="V22" s="106">
        <f>+T22-U22</f>
        <v>-116608</v>
      </c>
    </row>
    <row r="23" spans="1:32" x14ac:dyDescent="0.35">
      <c r="A23" s="2"/>
      <c r="B23" s="2"/>
      <c r="C23" s="2"/>
      <c r="D23" s="2"/>
      <c r="E23" s="2"/>
      <c r="F23" s="75"/>
      <c r="G23" s="2"/>
      <c r="H23" s="2"/>
      <c r="I23" s="2"/>
      <c r="J23" s="2"/>
      <c r="K23" s="2"/>
      <c r="L23" s="2"/>
      <c r="M23" s="2"/>
      <c r="N23" s="2"/>
      <c r="O23" s="63"/>
      <c r="P23" s="63"/>
      <c r="Q23" s="2"/>
      <c r="R23" s="2"/>
      <c r="S23" s="2"/>
      <c r="T23" s="59"/>
      <c r="U23" s="59"/>
      <c r="V23" s="59"/>
      <c r="W23" s="2"/>
    </row>
    <row r="24" spans="1:32" x14ac:dyDescent="0.35">
      <c r="A24" s="67" t="s">
        <v>73</v>
      </c>
      <c r="B24" s="2"/>
      <c r="D24" s="2"/>
      <c r="E24" s="2"/>
      <c r="F24" s="2"/>
      <c r="G24" s="2"/>
      <c r="H24" s="68">
        <f>+H18+H12+H9</f>
        <v>371270</v>
      </c>
      <c r="I24" s="2"/>
      <c r="J24" s="2"/>
      <c r="K24" s="2"/>
      <c r="L24" s="2"/>
      <c r="M24" s="2"/>
      <c r="N24" s="2"/>
      <c r="O24" s="63"/>
      <c r="P24" s="69">
        <f>+P18+P12+P9</f>
        <v>16304.400000000001</v>
      </c>
      <c r="Q24" s="2"/>
      <c r="R24" s="2"/>
      <c r="S24" s="2"/>
      <c r="T24" s="59"/>
      <c r="U24" s="59"/>
      <c r="V24" s="59"/>
      <c r="W24" s="2"/>
    </row>
    <row r="25" spans="1:32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75"/>
      <c r="M25" s="2"/>
      <c r="N25" s="2"/>
      <c r="O25" s="63"/>
      <c r="P25" s="63"/>
      <c r="Q25" s="2"/>
      <c r="R25" s="2"/>
      <c r="S25" s="175" t="s">
        <v>121</v>
      </c>
      <c r="T25" s="175"/>
      <c r="U25" s="175"/>
      <c r="V25" s="59"/>
      <c r="W25" s="2"/>
    </row>
    <row r="26" spans="1:32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70"/>
      <c r="N26" s="2"/>
      <c r="O26" s="63"/>
      <c r="P26" s="63"/>
      <c r="Q26" s="2"/>
    </row>
    <row r="27" spans="1:32" x14ac:dyDescent="0.35">
      <c r="A27" s="2"/>
      <c r="B27" s="49" t="s">
        <v>74</v>
      </c>
      <c r="C27" s="216"/>
      <c r="D27" s="76" t="s">
        <v>75</v>
      </c>
      <c r="E27" s="76"/>
      <c r="F27" s="63"/>
      <c r="G27" s="63"/>
      <c r="H27" s="2"/>
      <c r="I27" s="2"/>
      <c r="J27" s="71" t="s">
        <v>76</v>
      </c>
      <c r="K27" s="2"/>
      <c r="L27" s="2"/>
      <c r="M27" s="2"/>
      <c r="N27" s="2"/>
      <c r="O27" s="72"/>
      <c r="P27" s="73"/>
      <c r="Q27" s="2"/>
    </row>
    <row r="28" spans="1:32" x14ac:dyDescent="0.35">
      <c r="A28" s="2"/>
      <c r="B28" s="274" t="s">
        <v>77</v>
      </c>
      <c r="C28" s="275"/>
      <c r="D28" s="281" t="s">
        <v>1</v>
      </c>
      <c r="E28" s="282"/>
      <c r="F28" s="281" t="s">
        <v>2</v>
      </c>
      <c r="G28" s="282"/>
      <c r="H28" s="73"/>
      <c r="I28" s="2"/>
      <c r="J28" s="63" t="s">
        <v>78</v>
      </c>
      <c r="K28" s="74">
        <v>3.79</v>
      </c>
      <c r="L28" s="65"/>
      <c r="M28" s="70">
        <v>22000</v>
      </c>
      <c r="N28" s="75">
        <f>+K28*M28</f>
        <v>83380</v>
      </c>
      <c r="O28" s="75"/>
      <c r="P28" s="75"/>
      <c r="Q28" s="2"/>
    </row>
    <row r="29" spans="1:32" x14ac:dyDescent="0.35">
      <c r="A29" s="2"/>
      <c r="B29" s="288" t="s">
        <v>79</v>
      </c>
      <c r="C29" s="289"/>
      <c r="D29" s="290" t="s">
        <v>80</v>
      </c>
      <c r="E29" s="291"/>
      <c r="F29" s="290" t="s">
        <v>81</v>
      </c>
      <c r="G29" s="291"/>
      <c r="H29" s="63"/>
      <c r="I29" s="2"/>
      <c r="J29" s="63" t="s">
        <v>10</v>
      </c>
      <c r="K29" s="74">
        <v>3.47</v>
      </c>
      <c r="L29" s="65"/>
      <c r="M29" s="70">
        <v>6000</v>
      </c>
      <c r="N29" s="75">
        <f>+K29*M29</f>
        <v>20820</v>
      </c>
      <c r="O29" s="75">
        <f>+N28-N29</f>
        <v>62560</v>
      </c>
      <c r="P29" s="75"/>
      <c r="Q29" s="75"/>
    </row>
    <row r="30" spans="1:32" x14ac:dyDescent="0.35">
      <c r="A30" s="2"/>
      <c r="B30" s="288" t="s">
        <v>82</v>
      </c>
      <c r="C30" s="289"/>
      <c r="D30" s="290" t="s">
        <v>83</v>
      </c>
      <c r="E30" s="291"/>
      <c r="F30" s="290" t="s">
        <v>84</v>
      </c>
      <c r="G30" s="291"/>
      <c r="H30" s="63"/>
      <c r="I30" s="2"/>
      <c r="J30" s="63"/>
      <c r="K30" s="65"/>
      <c r="L30" s="2"/>
      <c r="M30" s="2" t="s">
        <v>116</v>
      </c>
      <c r="N30" s="2"/>
      <c r="O30" s="2"/>
      <c r="P30" s="63"/>
      <c r="Q30" s="2"/>
    </row>
    <row r="31" spans="1:32" ht="18.5" x14ac:dyDescent="0.65">
      <c r="A31" s="2"/>
      <c r="B31" s="2"/>
      <c r="C31" s="76"/>
      <c r="D31" s="2"/>
      <c r="E31" s="45"/>
      <c r="F31" s="63"/>
      <c r="G31" s="77"/>
      <c r="H31" s="73"/>
      <c r="I31" s="50" t="s">
        <v>40</v>
      </c>
      <c r="J31" s="78" t="s">
        <v>85</v>
      </c>
      <c r="K31" s="79">
        <f>+H9+H12+H18</f>
        <v>371270</v>
      </c>
      <c r="L31" s="65"/>
      <c r="M31" s="80" t="s">
        <v>86</v>
      </c>
      <c r="N31" s="81">
        <f>+K31/K29</f>
        <v>106994.23631123919</v>
      </c>
      <c r="O31" s="63"/>
      <c r="P31" s="2"/>
      <c r="Q31" s="2"/>
    </row>
    <row r="32" spans="1:32" ht="16" thickBot="1" x14ac:dyDescent="0.4">
      <c r="A32" s="2"/>
      <c r="B32" s="2"/>
      <c r="C32" s="2"/>
      <c r="D32" s="2"/>
      <c r="E32" s="45"/>
      <c r="F32" s="63"/>
      <c r="G32" s="63"/>
      <c r="H32" s="2"/>
      <c r="I32" s="2"/>
      <c r="J32" s="2"/>
      <c r="K32" s="65"/>
      <c r="L32" s="65"/>
      <c r="M32" s="65"/>
      <c r="N32" s="2"/>
      <c r="O32" s="2"/>
      <c r="P32" s="2"/>
      <c r="Q32" s="2"/>
    </row>
    <row r="33" spans="1:17" ht="16" thickBot="1" x14ac:dyDescent="0.4">
      <c r="A33" s="2"/>
      <c r="B33" s="109" t="s">
        <v>104</v>
      </c>
      <c r="C33" s="45"/>
      <c r="D33" s="63" t="s">
        <v>105</v>
      </c>
      <c r="E33" s="63"/>
      <c r="F33" s="63"/>
      <c r="G33" s="63"/>
      <c r="H33" s="2"/>
      <c r="I33" s="2"/>
      <c r="J33" s="2"/>
      <c r="K33" s="82"/>
      <c r="L33" s="179"/>
      <c r="M33" s="61" t="s">
        <v>87</v>
      </c>
      <c r="N33" s="83">
        <f>+N31+P9+P12+P18</f>
        <v>123298.63631123918</v>
      </c>
      <c r="O33" s="84">
        <f>+N33*K29</f>
        <v>427846.26799999998</v>
      </c>
      <c r="P33" s="2"/>
      <c r="Q33" s="2"/>
    </row>
    <row r="34" spans="1:17" x14ac:dyDescent="0.35">
      <c r="A34" s="2"/>
      <c r="B34" s="274" t="s">
        <v>77</v>
      </c>
      <c r="C34" s="275"/>
      <c r="D34" s="281" t="s">
        <v>1</v>
      </c>
      <c r="E34" s="282"/>
      <c r="F34" s="281" t="s">
        <v>2</v>
      </c>
      <c r="G34" s="282"/>
      <c r="H34" s="2"/>
      <c r="I34" s="2"/>
      <c r="J34" s="2"/>
      <c r="K34" s="82"/>
      <c r="L34" s="65"/>
      <c r="M34" s="65"/>
      <c r="N34" s="2"/>
      <c r="O34" s="2"/>
      <c r="P34" s="2"/>
      <c r="Q34" s="2"/>
    </row>
    <row r="35" spans="1:17" x14ac:dyDescent="0.35">
      <c r="A35" s="2"/>
      <c r="B35" s="283" t="s">
        <v>79</v>
      </c>
      <c r="C35" s="284"/>
      <c r="D35" s="285"/>
      <c r="E35" s="286"/>
      <c r="F35" s="285"/>
      <c r="G35" s="286"/>
      <c r="H35" s="2"/>
      <c r="I35" s="2"/>
      <c r="J35" s="2"/>
      <c r="K35" s="82"/>
      <c r="L35" s="65"/>
      <c r="M35" s="65"/>
      <c r="N35" s="2"/>
      <c r="O35" s="2"/>
      <c r="P35" s="2"/>
      <c r="Q35" s="2"/>
    </row>
    <row r="36" spans="1:17" x14ac:dyDescent="0.35">
      <c r="A36" s="2"/>
      <c r="B36" s="293" t="s">
        <v>82</v>
      </c>
      <c r="C36" s="294"/>
      <c r="D36" s="295"/>
      <c r="E36" s="296"/>
      <c r="F36" s="295" t="s">
        <v>106</v>
      </c>
      <c r="G36" s="296"/>
      <c r="H36" s="2"/>
      <c r="I36" s="2"/>
      <c r="J36" s="2"/>
      <c r="K36" s="65"/>
      <c r="L36" s="62"/>
      <c r="M36" s="65"/>
      <c r="N36" s="62"/>
      <c r="O36" s="2"/>
      <c r="P36" s="2"/>
      <c r="Q36" s="2"/>
    </row>
    <row r="37" spans="1:17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65"/>
      <c r="L37" s="180"/>
      <c r="M37" s="236"/>
      <c r="N37" s="82"/>
      <c r="O37" s="82"/>
      <c r="P37" s="82"/>
      <c r="Q37" s="2"/>
    </row>
    <row r="38" spans="1:17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36"/>
      <c r="N38" s="82"/>
      <c r="O38" s="2"/>
      <c r="P38" s="2"/>
      <c r="Q38" s="2"/>
    </row>
    <row r="39" spans="1:17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65"/>
      <c r="L39" s="2"/>
      <c r="M39" s="2"/>
      <c r="N39" s="181"/>
      <c r="O39" s="182"/>
      <c r="P39" s="2"/>
      <c r="Q39" s="2"/>
    </row>
    <row r="40" spans="1:17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82"/>
      <c r="O40" s="2"/>
      <c r="P40" s="2"/>
      <c r="Q40" s="2"/>
    </row>
    <row r="41" spans="1:17" ht="16" thickBot="1" x14ac:dyDescent="0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82"/>
      <c r="O41" s="2"/>
      <c r="P41" s="2"/>
      <c r="Q41" s="2"/>
    </row>
    <row r="42" spans="1:17" ht="16" thickBot="1" x14ac:dyDescent="0.4">
      <c r="A42" s="2"/>
      <c r="B42" s="2"/>
      <c r="C42" s="2"/>
      <c r="D42" s="2"/>
      <c r="E42" s="2"/>
      <c r="F42" s="2"/>
      <c r="H42" s="86" t="s">
        <v>89</v>
      </c>
      <c r="I42" s="49"/>
      <c r="J42" s="2"/>
      <c r="K42" s="2"/>
      <c r="L42" s="2"/>
      <c r="M42" s="2"/>
      <c r="N42" s="2"/>
      <c r="O42" s="2"/>
      <c r="P42" s="183"/>
      <c r="Q42" s="184"/>
    </row>
    <row r="43" spans="1:17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49"/>
      <c r="Q43" s="2"/>
    </row>
    <row r="44" spans="1:17" x14ac:dyDescent="0.35">
      <c r="A44" s="2"/>
      <c r="B44" s="2"/>
      <c r="C44" s="45"/>
      <c r="D44" s="2"/>
      <c r="E44" s="2"/>
      <c r="F44" s="2"/>
      <c r="G44" s="2"/>
      <c r="H44" s="2"/>
      <c r="I44" s="2"/>
      <c r="J44" s="2"/>
      <c r="K44" s="2"/>
      <c r="L44" s="2"/>
      <c r="M44" s="2"/>
      <c r="N44" s="82"/>
      <c r="O44" s="2"/>
      <c r="P44" s="2"/>
      <c r="Q44" s="2"/>
    </row>
    <row r="45" spans="1:17" x14ac:dyDescent="0.35">
      <c r="A45" s="2"/>
      <c r="B45" s="276" t="s">
        <v>93</v>
      </c>
      <c r="C45" s="277"/>
      <c r="D45" s="277"/>
      <c r="E45" s="277"/>
      <c r="F45" s="278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x14ac:dyDescent="0.35">
      <c r="A46" s="2"/>
      <c r="B46" s="274" t="s">
        <v>90</v>
      </c>
      <c r="C46" s="275"/>
      <c r="D46" s="101" t="s">
        <v>91</v>
      </c>
      <c r="E46" s="101" t="s">
        <v>70</v>
      </c>
      <c r="F46" s="101" t="s">
        <v>92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x14ac:dyDescent="0.35">
      <c r="A47" s="2"/>
      <c r="B47" s="279" t="s">
        <v>94</v>
      </c>
      <c r="C47" s="280"/>
      <c r="D47" s="99">
        <v>100000</v>
      </c>
      <c r="E47" s="99">
        <v>107112.12</v>
      </c>
      <c r="F47" s="100">
        <f>+D47-E47</f>
        <v>-7112.1199999999953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x14ac:dyDescent="0.35">
      <c r="A48" s="2"/>
      <c r="B48" s="279" t="s">
        <v>95</v>
      </c>
      <c r="C48" s="280"/>
      <c r="D48" s="99">
        <v>250000</v>
      </c>
      <c r="E48" s="99">
        <v>208476</v>
      </c>
      <c r="F48" s="100">
        <f>+D48-E48</f>
        <v>41524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28" x14ac:dyDescent="0.35">
      <c r="A49" s="2"/>
      <c r="B49" s="96"/>
      <c r="C49" s="96"/>
      <c r="D49" s="97"/>
      <c r="E49" s="97"/>
      <c r="F49" s="98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28" x14ac:dyDescent="0.35">
      <c r="A50" s="2"/>
      <c r="B50" s="96"/>
      <c r="C50" s="102" t="s">
        <v>96</v>
      </c>
      <c r="D50" s="103">
        <f>+SUM(D47:D48)</f>
        <v>350000</v>
      </c>
      <c r="E50" s="103">
        <f>+SUM(E47:E48)</f>
        <v>315588.12</v>
      </c>
      <c r="F50" s="104">
        <f>+SUM(F47:F48)</f>
        <v>34411.880000000005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28" x14ac:dyDescent="0.35">
      <c r="A51" s="2"/>
      <c r="B51" s="96"/>
      <c r="C51" s="96"/>
      <c r="D51" s="97"/>
      <c r="E51" s="97"/>
      <c r="F51" s="97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28" x14ac:dyDescent="0.35">
      <c r="A52" s="2"/>
      <c r="B52" s="96"/>
      <c r="C52" s="105" t="s">
        <v>97</v>
      </c>
      <c r="D52" s="106">
        <v>300000</v>
      </c>
      <c r="E52" s="106">
        <f>+SUM(E49:E50)</f>
        <v>315588.12</v>
      </c>
      <c r="F52" s="106">
        <f>+D52-E52</f>
        <v>-15588.119999999995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28" s="2" customFormat="1" x14ac:dyDescent="0.35">
      <c r="D53" s="59"/>
      <c r="E53" s="59"/>
      <c r="F53" s="59"/>
    </row>
    <row r="54" spans="1:28" s="2" customFormat="1" x14ac:dyDescent="0.35">
      <c r="D54" s="59"/>
      <c r="E54" s="59"/>
      <c r="F54" s="59"/>
    </row>
    <row r="55" spans="1:28" s="2" customFormat="1" x14ac:dyDescent="0.35">
      <c r="D55" s="287" t="s">
        <v>98</v>
      </c>
      <c r="E55" s="287"/>
      <c r="F55" s="59"/>
    </row>
    <row r="56" spans="1:28" s="2" customFormat="1" x14ac:dyDescent="0.35"/>
    <row r="57" spans="1:28" s="2" customFormat="1" x14ac:dyDescent="0.35"/>
    <row r="58" spans="1:28" s="2" customFormat="1" x14ac:dyDescent="0.35"/>
    <row r="59" spans="1:28" s="2" customFormat="1" x14ac:dyDescent="0.35"/>
    <row r="60" spans="1:28" s="2" customFormat="1" x14ac:dyDescent="0.35">
      <c r="D60" s="85"/>
    </row>
    <row r="61" spans="1:28" s="2" customFormat="1" x14ac:dyDescent="0.35"/>
    <row r="62" spans="1:28" s="2" customFormat="1" x14ac:dyDescent="0.35">
      <c r="D62" s="85"/>
    </row>
    <row r="63" spans="1:28" s="2" customFormat="1" x14ac:dyDescent="0.35"/>
    <row r="64" spans="1:28" x14ac:dyDescent="0.35">
      <c r="A64" s="2"/>
      <c r="B64" s="2"/>
      <c r="C64" s="2"/>
      <c r="D64" s="2"/>
      <c r="E64" s="2"/>
      <c r="F64" s="2"/>
      <c r="G64" s="45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x14ac:dyDescent="0.35">
      <c r="A65" s="2"/>
      <c r="B65" s="2"/>
      <c r="C65" s="2"/>
      <c r="D65" s="2"/>
      <c r="E65" s="2"/>
      <c r="F65" s="2"/>
      <c r="G65" s="45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x14ac:dyDescent="0.35">
      <c r="A67" s="2"/>
      <c r="B67" s="2"/>
      <c r="C67" s="2"/>
      <c r="D67" s="2"/>
      <c r="E67" s="2"/>
      <c r="F67" s="2"/>
      <c r="G67" s="2"/>
      <c r="H67" s="128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</sheetData>
  <mergeCells count="37">
    <mergeCell ref="R4:V4"/>
    <mergeCell ref="R5:S5"/>
    <mergeCell ref="R6:S6"/>
    <mergeCell ref="R7:S7"/>
    <mergeCell ref="X18:Z18"/>
    <mergeCell ref="X5:Y5"/>
    <mergeCell ref="X4:AB4"/>
    <mergeCell ref="X6:Y6"/>
    <mergeCell ref="X7:Y7"/>
    <mergeCell ref="R11:V11"/>
    <mergeCell ref="R12:S12"/>
    <mergeCell ref="R13:S13"/>
    <mergeCell ref="R14:S14"/>
    <mergeCell ref="D55:E55"/>
    <mergeCell ref="B30:C30"/>
    <mergeCell ref="D30:E30"/>
    <mergeCell ref="F30:G30"/>
    <mergeCell ref="B3:H3"/>
    <mergeCell ref="B28:C28"/>
    <mergeCell ref="D28:E28"/>
    <mergeCell ref="F28:G28"/>
    <mergeCell ref="B29:C29"/>
    <mergeCell ref="D29:E29"/>
    <mergeCell ref="F29:G29"/>
    <mergeCell ref="B36:C36"/>
    <mergeCell ref="D36:E36"/>
    <mergeCell ref="F36:G36"/>
    <mergeCell ref="B34:C34"/>
    <mergeCell ref="D34:E34"/>
    <mergeCell ref="B46:C46"/>
    <mergeCell ref="B45:F45"/>
    <mergeCell ref="B47:C47"/>
    <mergeCell ref="B48:C48"/>
    <mergeCell ref="F34:G34"/>
    <mergeCell ref="B35:C35"/>
    <mergeCell ref="D35:E35"/>
    <mergeCell ref="F35:G35"/>
  </mergeCells>
  <conditionalFormatting sqref="H5:H9">
    <cfRule type="expression" dxfId="9" priority="13">
      <formula>H5&lt;1</formula>
    </cfRule>
  </conditionalFormatting>
  <conditionalFormatting sqref="H14:H15">
    <cfRule type="expression" dxfId="8" priority="7">
      <formula>H14&lt;1</formula>
    </cfRule>
  </conditionalFormatting>
  <conditionalFormatting sqref="H20:H21">
    <cfRule type="expression" dxfId="7" priority="2">
      <formula>H20&lt;1</formula>
    </cfRule>
  </conditionalFormatting>
  <conditionalFormatting sqref="N31">
    <cfRule type="expression" dxfId="6" priority="15">
      <formula>N31&lt;1</formula>
    </cfRule>
  </conditionalFormatting>
  <conditionalFormatting sqref="N33">
    <cfRule type="expression" dxfId="5" priority="14">
      <formula>N33&lt;1</formula>
    </cfRule>
  </conditionalFormatting>
  <conditionalFormatting sqref="N39">
    <cfRule type="expression" dxfId="4" priority="11">
      <formula>N39&lt;1</formula>
    </cfRule>
  </conditionalFormatting>
  <conditionalFormatting sqref="P5:P9">
    <cfRule type="expression" dxfId="3" priority="5">
      <formula>P5&lt;1</formula>
    </cfRule>
  </conditionalFormatting>
  <conditionalFormatting sqref="P12:P13 P16:P19 P22">
    <cfRule type="cellIs" dxfId="2" priority="10" operator="lessThan">
      <formula>1</formula>
    </cfRule>
  </conditionalFormatting>
  <conditionalFormatting sqref="P14:P15">
    <cfRule type="expression" dxfId="1" priority="6">
      <formula>P14&lt;1</formula>
    </cfRule>
  </conditionalFormatting>
  <conditionalFormatting sqref="P20:P21">
    <cfRule type="expression" dxfId="0" priority="1">
      <formula>P20&lt;1</formula>
    </cfRule>
  </conditionalFormatting>
  <pageMargins left="0.7" right="0.7" top="0.75" bottom="0.75" header="0.3" footer="0.3"/>
  <pageSetup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83"/>
  <sheetViews>
    <sheetView zoomScale="77" zoomScaleNormal="100" workbookViewId="0">
      <pane ySplit="3" topLeftCell="A45" activePane="bottomLeft" state="frozen"/>
      <selection pane="bottomLeft" activeCell="C13" sqref="C13"/>
    </sheetView>
  </sheetViews>
  <sheetFormatPr baseColWidth="10" defaultRowHeight="15.5" x14ac:dyDescent="0.35"/>
  <cols>
    <col min="1" max="1" width="13.6640625" bestFit="1" customWidth="1"/>
    <col min="2" max="2" width="26.83203125" bestFit="1" customWidth="1"/>
    <col min="3" max="3" width="41.9140625" customWidth="1"/>
    <col min="4" max="4" width="14.58203125" customWidth="1"/>
    <col min="5" max="5" width="10.58203125" customWidth="1"/>
    <col min="6" max="6" width="5.6640625" customWidth="1"/>
    <col min="7" max="7" width="13.58203125" style="4" bestFit="1" customWidth="1"/>
    <col min="8" max="8" width="9.08203125" customWidth="1"/>
    <col min="9" max="9" width="11.1640625" customWidth="1"/>
    <col min="10" max="10" width="26.1640625" customWidth="1"/>
    <col min="11" max="11" width="18.08203125" style="4" customWidth="1"/>
    <col min="12" max="12" width="8.6640625" style="4" customWidth="1"/>
    <col min="13" max="13" width="10.6640625" customWidth="1"/>
    <col min="14" max="14" width="9" customWidth="1"/>
  </cols>
  <sheetData>
    <row r="1" spans="1:13" x14ac:dyDescent="0.35">
      <c r="A1" s="174">
        <v>46088</v>
      </c>
      <c r="B1" s="3">
        <f ca="1">+TODAY()</f>
        <v>46097</v>
      </c>
      <c r="E1" s="171" t="s">
        <v>5</v>
      </c>
      <c r="F1" s="306">
        <v>3.45</v>
      </c>
      <c r="G1" s="306"/>
      <c r="H1" s="23"/>
      <c r="I1" s="1"/>
    </row>
    <row r="2" spans="1:13" x14ac:dyDescent="0.35">
      <c r="A2" s="173">
        <f>+A1+90</f>
        <v>46178</v>
      </c>
      <c r="B2" s="172">
        <f>+A2-A1</f>
        <v>90</v>
      </c>
      <c r="H2" s="23"/>
      <c r="I2" s="28"/>
    </row>
    <row r="3" spans="1:13" ht="43.5" x14ac:dyDescent="0.35">
      <c r="A3" s="5" t="s">
        <v>112</v>
      </c>
      <c r="B3" s="5" t="s">
        <v>127</v>
      </c>
      <c r="C3" s="198" t="s">
        <v>6</v>
      </c>
      <c r="D3" s="5" t="s">
        <v>100</v>
      </c>
      <c r="E3" s="5" t="s">
        <v>7</v>
      </c>
      <c r="F3" s="5" t="s">
        <v>8</v>
      </c>
      <c r="G3" s="5" t="s">
        <v>128</v>
      </c>
      <c r="H3" s="5" t="s">
        <v>9</v>
      </c>
      <c r="I3" s="5" t="s">
        <v>10</v>
      </c>
      <c r="J3" s="6" t="s">
        <v>25</v>
      </c>
      <c r="K3" s="6" t="s">
        <v>11</v>
      </c>
      <c r="L3" s="6" t="s">
        <v>12</v>
      </c>
      <c r="M3" s="7" t="s">
        <v>2</v>
      </c>
    </row>
    <row r="4" spans="1:13" s="34" customFormat="1" x14ac:dyDescent="0.35">
      <c r="A4" s="8"/>
      <c r="B4" s="8" t="s">
        <v>131</v>
      </c>
      <c r="C4" s="144" t="s">
        <v>129</v>
      </c>
      <c r="D4" s="144" t="s">
        <v>41</v>
      </c>
      <c r="E4" s="140">
        <v>45565</v>
      </c>
      <c r="F4" s="124">
        <f t="shared" ref="F4:F9" ca="1" si="0">+$B$1-E4</f>
        <v>532</v>
      </c>
      <c r="G4" s="145">
        <v>5000</v>
      </c>
      <c r="H4" s="8" t="s">
        <v>2</v>
      </c>
      <c r="I4" s="8" t="s">
        <v>41</v>
      </c>
      <c r="J4" s="32" t="s">
        <v>130</v>
      </c>
      <c r="K4" s="33" t="s">
        <v>38</v>
      </c>
      <c r="L4" s="33"/>
      <c r="M4" s="12">
        <f>+IF(H4="SOLES",(G4/$F$1),(G4))</f>
        <v>5000</v>
      </c>
    </row>
    <row r="5" spans="1:13" s="34" customFormat="1" x14ac:dyDescent="0.35">
      <c r="A5" s="8"/>
      <c r="B5" s="8" t="s">
        <v>132</v>
      </c>
      <c r="C5" s="144" t="s">
        <v>129</v>
      </c>
      <c r="D5" s="144" t="s">
        <v>41</v>
      </c>
      <c r="E5" s="140">
        <v>45596</v>
      </c>
      <c r="F5" s="124">
        <f t="shared" ca="1" si="0"/>
        <v>501</v>
      </c>
      <c r="G5" s="145">
        <v>5000</v>
      </c>
      <c r="H5" s="8" t="s">
        <v>2</v>
      </c>
      <c r="I5" s="8" t="s">
        <v>41</v>
      </c>
      <c r="J5" s="32" t="s">
        <v>130</v>
      </c>
      <c r="K5" s="33" t="s">
        <v>38</v>
      </c>
      <c r="L5" s="33"/>
      <c r="M5" s="12">
        <f t="shared" ref="M5:M68" si="1">+IF(H5="SOLES",(G5/$F$1),(G5))</f>
        <v>5000</v>
      </c>
    </row>
    <row r="6" spans="1:13" s="34" customFormat="1" x14ac:dyDescent="0.35">
      <c r="A6" s="8"/>
      <c r="B6" s="8" t="s">
        <v>133</v>
      </c>
      <c r="C6" s="144" t="s">
        <v>129</v>
      </c>
      <c r="D6" s="144" t="s">
        <v>41</v>
      </c>
      <c r="E6" s="140">
        <v>45626</v>
      </c>
      <c r="F6" s="124">
        <f t="shared" ca="1" si="0"/>
        <v>471</v>
      </c>
      <c r="G6" s="145">
        <v>5000</v>
      </c>
      <c r="H6" s="8" t="s">
        <v>2</v>
      </c>
      <c r="I6" s="8" t="s">
        <v>41</v>
      </c>
      <c r="J6" s="32" t="s">
        <v>130</v>
      </c>
      <c r="K6" s="33" t="s">
        <v>38</v>
      </c>
      <c r="L6" s="33"/>
      <c r="M6" s="12">
        <f t="shared" si="1"/>
        <v>5000</v>
      </c>
    </row>
    <row r="7" spans="1:13" s="34" customFormat="1" x14ac:dyDescent="0.35">
      <c r="A7" s="8"/>
      <c r="B7" s="8" t="s">
        <v>134</v>
      </c>
      <c r="C7" s="144" t="s">
        <v>129</v>
      </c>
      <c r="D7" s="144" t="s">
        <v>41</v>
      </c>
      <c r="E7" s="140">
        <v>45657</v>
      </c>
      <c r="F7" s="124">
        <f t="shared" ca="1" si="0"/>
        <v>440</v>
      </c>
      <c r="G7" s="145">
        <v>5000</v>
      </c>
      <c r="H7" s="8" t="s">
        <v>2</v>
      </c>
      <c r="I7" s="8" t="s">
        <v>41</v>
      </c>
      <c r="J7" s="32" t="s">
        <v>130</v>
      </c>
      <c r="K7" s="33" t="s">
        <v>38</v>
      </c>
      <c r="L7" s="33"/>
      <c r="M7" s="12">
        <f t="shared" si="1"/>
        <v>5000</v>
      </c>
    </row>
    <row r="8" spans="1:13" s="34" customFormat="1" ht="15" customHeight="1" x14ac:dyDescent="0.35">
      <c r="A8" s="8"/>
      <c r="B8" s="8" t="s">
        <v>135</v>
      </c>
      <c r="C8" s="144" t="s">
        <v>129</v>
      </c>
      <c r="D8" s="144" t="s">
        <v>41</v>
      </c>
      <c r="E8" s="140">
        <v>45688</v>
      </c>
      <c r="F8" s="124">
        <f t="shared" ca="1" si="0"/>
        <v>409</v>
      </c>
      <c r="G8" s="145">
        <v>5000</v>
      </c>
      <c r="H8" s="8" t="s">
        <v>2</v>
      </c>
      <c r="I8" s="8" t="s">
        <v>41</v>
      </c>
      <c r="J8" s="32" t="s">
        <v>130</v>
      </c>
      <c r="K8" s="33" t="s">
        <v>38</v>
      </c>
      <c r="L8" s="33"/>
      <c r="M8" s="12">
        <f t="shared" si="1"/>
        <v>5000</v>
      </c>
    </row>
    <row r="9" spans="1:13" s="34" customFormat="1" x14ac:dyDescent="0.35">
      <c r="A9" s="8"/>
      <c r="B9" s="8" t="s">
        <v>136</v>
      </c>
      <c r="C9" s="144" t="s">
        <v>129</v>
      </c>
      <c r="D9" s="144" t="s">
        <v>41</v>
      </c>
      <c r="E9" s="140">
        <v>45716</v>
      </c>
      <c r="F9" s="124">
        <f t="shared" ca="1" si="0"/>
        <v>381</v>
      </c>
      <c r="G9" s="145">
        <v>5000</v>
      </c>
      <c r="H9" s="8" t="s">
        <v>2</v>
      </c>
      <c r="I9" s="8" t="s">
        <v>41</v>
      </c>
      <c r="J9" s="32" t="s">
        <v>130</v>
      </c>
      <c r="K9" s="33" t="s">
        <v>38</v>
      </c>
      <c r="L9" s="33"/>
      <c r="M9" s="12">
        <f t="shared" si="1"/>
        <v>5000</v>
      </c>
    </row>
    <row r="10" spans="1:13" s="34" customFormat="1" x14ac:dyDescent="0.35">
      <c r="A10" s="8"/>
      <c r="B10" s="8" t="s">
        <v>137</v>
      </c>
      <c r="C10" s="144" t="s">
        <v>129</v>
      </c>
      <c r="D10" s="144" t="s">
        <v>41</v>
      </c>
      <c r="E10" s="140">
        <v>45747</v>
      </c>
      <c r="F10" s="124">
        <f t="shared" ref="F10" ca="1" si="2">+$B$1-E10</f>
        <v>350</v>
      </c>
      <c r="G10" s="145">
        <v>5000</v>
      </c>
      <c r="H10" s="8" t="s">
        <v>2</v>
      </c>
      <c r="I10" s="8" t="s">
        <v>41</v>
      </c>
      <c r="J10" s="32" t="s">
        <v>130</v>
      </c>
      <c r="K10" s="33" t="s">
        <v>38</v>
      </c>
      <c r="L10" s="33"/>
      <c r="M10" s="12">
        <f t="shared" si="1"/>
        <v>5000</v>
      </c>
    </row>
    <row r="11" spans="1:13" s="34" customFormat="1" x14ac:dyDescent="0.35">
      <c r="A11" s="8"/>
      <c r="B11" s="8" t="s">
        <v>138</v>
      </c>
      <c r="C11" s="144" t="s">
        <v>129</v>
      </c>
      <c r="D11" s="144" t="s">
        <v>41</v>
      </c>
      <c r="E11" s="140">
        <v>45777</v>
      </c>
      <c r="F11" s="124">
        <f t="shared" ref="F11:F15" ca="1" si="3">+$B$1-E11</f>
        <v>320</v>
      </c>
      <c r="G11" s="145">
        <v>5000</v>
      </c>
      <c r="H11" s="8" t="s">
        <v>2</v>
      </c>
      <c r="I11" s="8" t="s">
        <v>41</v>
      </c>
      <c r="J11" s="32" t="s">
        <v>130</v>
      </c>
      <c r="K11" s="33" t="s">
        <v>38</v>
      </c>
      <c r="L11" s="33"/>
      <c r="M11" s="12">
        <f t="shared" si="1"/>
        <v>5000</v>
      </c>
    </row>
    <row r="12" spans="1:13" s="34" customFormat="1" x14ac:dyDescent="0.35">
      <c r="A12" s="8"/>
      <c r="B12" s="8" t="s">
        <v>139</v>
      </c>
      <c r="C12" s="144" t="s">
        <v>129</v>
      </c>
      <c r="D12" s="144" t="s">
        <v>41</v>
      </c>
      <c r="E12" s="140">
        <v>45808</v>
      </c>
      <c r="F12" s="124">
        <f t="shared" ca="1" si="3"/>
        <v>289</v>
      </c>
      <c r="G12" s="145">
        <v>5000</v>
      </c>
      <c r="H12" s="8" t="s">
        <v>2</v>
      </c>
      <c r="I12" s="8" t="s">
        <v>41</v>
      </c>
      <c r="J12" s="32" t="s">
        <v>130</v>
      </c>
      <c r="K12" s="33" t="s">
        <v>38</v>
      </c>
      <c r="L12" s="33"/>
      <c r="M12" s="12">
        <f t="shared" si="1"/>
        <v>5000</v>
      </c>
    </row>
    <row r="13" spans="1:13" s="34" customFormat="1" x14ac:dyDescent="0.35">
      <c r="A13" s="8"/>
      <c r="B13" s="8" t="s">
        <v>173</v>
      </c>
      <c r="C13" s="144" t="s">
        <v>129</v>
      </c>
      <c r="D13" s="144" t="s">
        <v>41</v>
      </c>
      <c r="E13" s="140">
        <v>45838</v>
      </c>
      <c r="F13" s="124">
        <f t="shared" ca="1" si="3"/>
        <v>259</v>
      </c>
      <c r="G13" s="145">
        <v>5000</v>
      </c>
      <c r="H13" s="8" t="s">
        <v>2</v>
      </c>
      <c r="I13" s="8" t="s">
        <v>41</v>
      </c>
      <c r="J13" s="32" t="s">
        <v>130</v>
      </c>
      <c r="K13" s="33" t="s">
        <v>38</v>
      </c>
      <c r="L13" s="33"/>
      <c r="M13" s="12">
        <f t="shared" si="1"/>
        <v>5000</v>
      </c>
    </row>
    <row r="14" spans="1:13" s="34" customFormat="1" x14ac:dyDescent="0.35">
      <c r="A14" s="8"/>
      <c r="B14" s="8" t="s">
        <v>174</v>
      </c>
      <c r="C14" s="144" t="s">
        <v>129</v>
      </c>
      <c r="D14" s="144" t="s">
        <v>41</v>
      </c>
      <c r="E14" s="140">
        <v>45869</v>
      </c>
      <c r="F14" s="124">
        <f t="shared" ca="1" si="3"/>
        <v>228</v>
      </c>
      <c r="G14" s="145">
        <v>5000</v>
      </c>
      <c r="H14" s="8" t="s">
        <v>2</v>
      </c>
      <c r="I14" s="8" t="s">
        <v>41</v>
      </c>
      <c r="J14" s="32" t="s">
        <v>130</v>
      </c>
      <c r="K14" s="33" t="s">
        <v>38</v>
      </c>
      <c r="L14" s="33"/>
      <c r="M14" s="12">
        <f t="shared" si="1"/>
        <v>5000</v>
      </c>
    </row>
    <row r="15" spans="1:13" s="34" customFormat="1" x14ac:dyDescent="0.35">
      <c r="A15" s="8"/>
      <c r="B15" s="8" t="s">
        <v>175</v>
      </c>
      <c r="C15" s="144" t="s">
        <v>129</v>
      </c>
      <c r="D15" s="144" t="s">
        <v>41</v>
      </c>
      <c r="E15" s="140">
        <v>45899</v>
      </c>
      <c r="F15" s="124">
        <f t="shared" ca="1" si="3"/>
        <v>198</v>
      </c>
      <c r="G15" s="145">
        <v>5000</v>
      </c>
      <c r="H15" s="8" t="s">
        <v>2</v>
      </c>
      <c r="I15" s="8" t="s">
        <v>41</v>
      </c>
      <c r="J15" s="32" t="s">
        <v>130</v>
      </c>
      <c r="K15" s="33" t="s">
        <v>38</v>
      </c>
      <c r="L15" s="33"/>
      <c r="M15" s="12">
        <f t="shared" si="1"/>
        <v>5000</v>
      </c>
    </row>
    <row r="16" spans="1:13" s="34" customFormat="1" x14ac:dyDescent="0.35">
      <c r="A16" s="8"/>
      <c r="B16" s="8" t="s">
        <v>240</v>
      </c>
      <c r="C16" s="22" t="s">
        <v>115</v>
      </c>
      <c r="D16" s="22" t="s">
        <v>60</v>
      </c>
      <c r="E16" s="10">
        <v>46078</v>
      </c>
      <c r="F16" s="27">
        <f t="shared" ref="F16" ca="1" si="4">+$B$1-E16</f>
        <v>19</v>
      </c>
      <c r="G16" s="136">
        <v>849.61</v>
      </c>
      <c r="H16" s="8" t="s">
        <v>2</v>
      </c>
      <c r="I16" s="8" t="s">
        <v>3</v>
      </c>
      <c r="J16" s="32" t="s">
        <v>241</v>
      </c>
      <c r="K16" s="33" t="s">
        <v>38</v>
      </c>
      <c r="L16" s="33"/>
      <c r="M16" s="12">
        <f t="shared" si="1"/>
        <v>849.61</v>
      </c>
    </row>
    <row r="17" spans="1:13" s="34" customFormat="1" x14ac:dyDescent="0.35">
      <c r="A17" s="29"/>
      <c r="B17" s="29" t="s">
        <v>209</v>
      </c>
      <c r="C17" s="37" t="s">
        <v>196</v>
      </c>
      <c r="D17" s="37" t="s">
        <v>88</v>
      </c>
      <c r="E17" s="31">
        <v>46088</v>
      </c>
      <c r="F17" s="41">
        <f t="shared" ref="F17:F117" ca="1" si="5">+$B$1-E17</f>
        <v>9</v>
      </c>
      <c r="G17" s="138">
        <v>2175</v>
      </c>
      <c r="H17" s="29" t="s">
        <v>2</v>
      </c>
      <c r="I17" s="29" t="s">
        <v>3</v>
      </c>
      <c r="J17" s="212" t="s">
        <v>33</v>
      </c>
      <c r="K17" s="213" t="s">
        <v>38</v>
      </c>
      <c r="L17" s="213"/>
      <c r="M17" s="12">
        <f t="shared" si="1"/>
        <v>2175</v>
      </c>
    </row>
    <row r="18" spans="1:13" s="34" customFormat="1" x14ac:dyDescent="0.35">
      <c r="A18" s="8"/>
      <c r="B18" s="8" t="s">
        <v>277</v>
      </c>
      <c r="C18" s="22" t="s">
        <v>228</v>
      </c>
      <c r="D18" s="22" t="s">
        <v>60</v>
      </c>
      <c r="E18" s="10">
        <v>46094</v>
      </c>
      <c r="F18" s="27">
        <f t="shared" ca="1" si="5"/>
        <v>3</v>
      </c>
      <c r="G18" s="136">
        <v>2998.38</v>
      </c>
      <c r="H18" s="8" t="s">
        <v>1</v>
      </c>
      <c r="I18" s="8" t="s">
        <v>3</v>
      </c>
      <c r="J18" s="32" t="s">
        <v>108</v>
      </c>
      <c r="K18" s="33" t="s">
        <v>38</v>
      </c>
      <c r="L18" s="33"/>
      <c r="M18" s="12">
        <f t="shared" si="1"/>
        <v>869.09565217391298</v>
      </c>
    </row>
    <row r="19" spans="1:13" ht="15" customHeight="1" x14ac:dyDescent="0.35">
      <c r="A19" s="108" t="s">
        <v>161</v>
      </c>
      <c r="B19" s="108" t="s">
        <v>58</v>
      </c>
      <c r="C19" s="39" t="s">
        <v>126</v>
      </c>
      <c r="D19" s="194" t="s">
        <v>60</v>
      </c>
      <c r="E19" s="38">
        <v>46094</v>
      </c>
      <c r="F19" s="192">
        <f t="shared" ca="1" si="5"/>
        <v>3</v>
      </c>
      <c r="G19" s="143">
        <v>4280.91</v>
      </c>
      <c r="H19" s="108" t="s">
        <v>1</v>
      </c>
      <c r="I19" s="193" t="s">
        <v>3</v>
      </c>
      <c r="J19" s="195" t="s">
        <v>27</v>
      </c>
      <c r="K19" s="196" t="s">
        <v>38</v>
      </c>
      <c r="L19" s="197"/>
      <c r="M19" s="12">
        <f t="shared" si="1"/>
        <v>1240.8434782608695</v>
      </c>
    </row>
    <row r="20" spans="1:13" s="34" customFormat="1" ht="15" customHeight="1" x14ac:dyDescent="0.35">
      <c r="A20" s="29"/>
      <c r="B20" s="29" t="s">
        <v>281</v>
      </c>
      <c r="C20" s="37" t="s">
        <v>178</v>
      </c>
      <c r="D20" s="37" t="s">
        <v>0</v>
      </c>
      <c r="E20" s="31">
        <v>46095</v>
      </c>
      <c r="F20" s="273">
        <f t="shared" ca="1" si="5"/>
        <v>2</v>
      </c>
      <c r="G20" s="138">
        <v>519.91</v>
      </c>
      <c r="H20" s="29" t="s">
        <v>1</v>
      </c>
      <c r="I20" s="29" t="s">
        <v>4</v>
      </c>
      <c r="J20" s="212" t="s">
        <v>179</v>
      </c>
      <c r="K20" s="213" t="s">
        <v>38</v>
      </c>
      <c r="L20" s="213"/>
      <c r="M20" s="12">
        <f t="shared" si="1"/>
        <v>150.69855072463767</v>
      </c>
    </row>
    <row r="21" spans="1:13" s="34" customFormat="1" x14ac:dyDescent="0.35">
      <c r="A21" s="164" t="s">
        <v>204</v>
      </c>
      <c r="B21" s="164" t="s">
        <v>207</v>
      </c>
      <c r="C21" s="165" t="s">
        <v>198</v>
      </c>
      <c r="D21" s="165" t="s">
        <v>60</v>
      </c>
      <c r="E21" s="166">
        <v>46096</v>
      </c>
      <c r="F21" s="167">
        <f t="shared" ref="F21" ca="1" si="6">+$B$1-E21</f>
        <v>1</v>
      </c>
      <c r="G21" s="168">
        <v>19868.78</v>
      </c>
      <c r="H21" s="164" t="s">
        <v>2</v>
      </c>
      <c r="I21" s="164" t="s">
        <v>3</v>
      </c>
      <c r="J21" s="169" t="s">
        <v>34</v>
      </c>
      <c r="K21" s="170" t="s">
        <v>38</v>
      </c>
      <c r="L21" s="170"/>
      <c r="M21" s="12">
        <f t="shared" si="1"/>
        <v>19868.78</v>
      </c>
    </row>
    <row r="22" spans="1:13" s="34" customFormat="1" ht="15" customHeight="1" x14ac:dyDescent="0.35">
      <c r="A22" s="211"/>
      <c r="B22" s="211"/>
      <c r="C22" s="208" t="s">
        <v>14</v>
      </c>
      <c r="D22" s="208" t="s">
        <v>88</v>
      </c>
      <c r="E22" s="217">
        <v>46096</v>
      </c>
      <c r="F22" s="218">
        <f t="shared" ref="F22:F38" ca="1" si="7">+$B$1-E22</f>
        <v>1</v>
      </c>
      <c r="G22" s="210">
        <v>13000</v>
      </c>
      <c r="H22" s="211" t="s">
        <v>1</v>
      </c>
      <c r="I22" s="211" t="s">
        <v>3</v>
      </c>
      <c r="J22" s="219" t="s">
        <v>15</v>
      </c>
      <c r="K22" s="220" t="s">
        <v>38</v>
      </c>
      <c r="L22" s="220"/>
      <c r="M22" s="12">
        <f t="shared" si="1"/>
        <v>3768.1159420289855</v>
      </c>
    </row>
    <row r="23" spans="1:13" s="34" customFormat="1" ht="15" customHeight="1" x14ac:dyDescent="0.35">
      <c r="A23" s="211"/>
      <c r="B23" s="211"/>
      <c r="C23" s="208" t="s">
        <v>14</v>
      </c>
      <c r="D23" s="208" t="s">
        <v>0</v>
      </c>
      <c r="E23" s="217">
        <v>46096</v>
      </c>
      <c r="F23" s="218">
        <f t="shared" ca="1" si="7"/>
        <v>1</v>
      </c>
      <c r="G23" s="210">
        <v>21000</v>
      </c>
      <c r="H23" s="211" t="s">
        <v>1</v>
      </c>
      <c r="I23" s="211" t="s">
        <v>3</v>
      </c>
      <c r="J23" s="219" t="s">
        <v>15</v>
      </c>
      <c r="K23" s="220" t="s">
        <v>38</v>
      </c>
      <c r="L23" s="220"/>
      <c r="M23" s="12">
        <f t="shared" si="1"/>
        <v>6086.95652173913</v>
      </c>
    </row>
    <row r="24" spans="1:13" s="34" customFormat="1" ht="15" customHeight="1" x14ac:dyDescent="0.35">
      <c r="A24" s="211"/>
      <c r="B24" s="211"/>
      <c r="C24" s="208" t="s">
        <v>14</v>
      </c>
      <c r="D24" s="208" t="s">
        <v>60</v>
      </c>
      <c r="E24" s="217">
        <v>46096</v>
      </c>
      <c r="F24" s="218">
        <f t="shared" ca="1" si="7"/>
        <v>1</v>
      </c>
      <c r="G24" s="210">
        <v>21000</v>
      </c>
      <c r="H24" s="211" t="s">
        <v>1</v>
      </c>
      <c r="I24" s="211" t="s">
        <v>3</v>
      </c>
      <c r="J24" s="219" t="s">
        <v>15</v>
      </c>
      <c r="K24" s="220" t="s">
        <v>38</v>
      </c>
      <c r="L24" s="220"/>
      <c r="M24" s="12">
        <f t="shared" si="1"/>
        <v>6086.95652173913</v>
      </c>
    </row>
    <row r="25" spans="1:13" s="34" customFormat="1" ht="15" customHeight="1" x14ac:dyDescent="0.35">
      <c r="A25" s="211"/>
      <c r="B25" s="211"/>
      <c r="C25" s="208" t="s">
        <v>14</v>
      </c>
      <c r="D25" s="208" t="s">
        <v>41</v>
      </c>
      <c r="E25" s="217">
        <v>46096</v>
      </c>
      <c r="F25" s="218">
        <f t="shared" ca="1" si="7"/>
        <v>1</v>
      </c>
      <c r="G25" s="210">
        <v>8000</v>
      </c>
      <c r="H25" s="211" t="s">
        <v>1</v>
      </c>
      <c r="I25" s="211" t="s">
        <v>3</v>
      </c>
      <c r="J25" s="219" t="s">
        <v>15</v>
      </c>
      <c r="K25" s="220" t="s">
        <v>38</v>
      </c>
      <c r="L25" s="220"/>
      <c r="M25" s="12">
        <f t="shared" si="1"/>
        <v>2318.840579710145</v>
      </c>
    </row>
    <row r="26" spans="1:13" s="34" customFormat="1" ht="15" customHeight="1" x14ac:dyDescent="0.35">
      <c r="A26" s="29" t="s">
        <v>263</v>
      </c>
      <c r="B26" s="29" t="s">
        <v>233</v>
      </c>
      <c r="C26" s="37" t="s">
        <v>16</v>
      </c>
      <c r="D26" s="37" t="s">
        <v>60</v>
      </c>
      <c r="E26" s="31">
        <v>46097</v>
      </c>
      <c r="F26" s="107">
        <f t="shared" ref="F26:F32" ca="1" si="8">+$B$1-E26</f>
        <v>0</v>
      </c>
      <c r="G26" s="138">
        <v>1950</v>
      </c>
      <c r="H26" s="29" t="s">
        <v>1</v>
      </c>
      <c r="I26" s="29" t="s">
        <v>3</v>
      </c>
      <c r="J26" s="212" t="s">
        <v>30</v>
      </c>
      <c r="K26" s="213" t="s">
        <v>38</v>
      </c>
      <c r="L26" s="213"/>
      <c r="M26" s="12">
        <f t="shared" si="1"/>
        <v>565.21739130434776</v>
      </c>
    </row>
    <row r="27" spans="1:13" s="34" customFormat="1" ht="15" customHeight="1" x14ac:dyDescent="0.35">
      <c r="A27" s="29" t="s">
        <v>264</v>
      </c>
      <c r="B27" s="29" t="s">
        <v>234</v>
      </c>
      <c r="C27" s="37" t="s">
        <v>19</v>
      </c>
      <c r="D27" s="37" t="s">
        <v>60</v>
      </c>
      <c r="E27" s="31">
        <v>46097</v>
      </c>
      <c r="F27" s="107">
        <f t="shared" ca="1" si="8"/>
        <v>0</v>
      </c>
      <c r="G27" s="138">
        <v>1026.5999999999999</v>
      </c>
      <c r="H27" s="29" t="s">
        <v>2</v>
      </c>
      <c r="I27" s="29" t="s">
        <v>3</v>
      </c>
      <c r="J27" s="212" t="s">
        <v>33</v>
      </c>
      <c r="K27" s="213" t="s">
        <v>38</v>
      </c>
      <c r="L27" s="213"/>
      <c r="M27" s="12">
        <f t="shared" si="1"/>
        <v>1026.5999999999999</v>
      </c>
    </row>
    <row r="28" spans="1:13" s="34" customFormat="1" ht="15" customHeight="1" x14ac:dyDescent="0.35">
      <c r="A28" s="29"/>
      <c r="B28" s="29" t="s">
        <v>177</v>
      </c>
      <c r="C28" s="37" t="s">
        <v>125</v>
      </c>
      <c r="D28" s="37" t="s">
        <v>41</v>
      </c>
      <c r="E28" s="31">
        <v>46097</v>
      </c>
      <c r="F28" s="107">
        <f t="shared" ca="1" si="8"/>
        <v>0</v>
      </c>
      <c r="G28" s="138">
        <v>2625</v>
      </c>
      <c r="H28" s="29" t="s">
        <v>1</v>
      </c>
      <c r="I28" s="29" t="s">
        <v>41</v>
      </c>
      <c r="J28" s="212" t="s">
        <v>31</v>
      </c>
      <c r="K28" s="213" t="s">
        <v>38</v>
      </c>
      <c r="L28" s="213"/>
      <c r="M28" s="12">
        <f t="shared" si="1"/>
        <v>760.86956521739125</v>
      </c>
    </row>
    <row r="29" spans="1:13" s="34" customFormat="1" ht="15" customHeight="1" x14ac:dyDescent="0.35">
      <c r="A29" s="8"/>
      <c r="B29" s="8" t="s">
        <v>177</v>
      </c>
      <c r="C29" s="22" t="s">
        <v>107</v>
      </c>
      <c r="D29" s="22" t="s">
        <v>0</v>
      </c>
      <c r="E29" s="10">
        <v>46097</v>
      </c>
      <c r="F29" s="24">
        <f t="shared" ca="1" si="8"/>
        <v>0</v>
      </c>
      <c r="G29" s="136">
        <v>4030</v>
      </c>
      <c r="H29" s="8" t="s">
        <v>1</v>
      </c>
      <c r="I29" s="8" t="s">
        <v>3</v>
      </c>
      <c r="J29" s="32" t="s">
        <v>31</v>
      </c>
      <c r="K29" s="33" t="s">
        <v>38</v>
      </c>
      <c r="L29" s="33"/>
      <c r="M29" s="12">
        <f t="shared" si="1"/>
        <v>1168.1159420289855</v>
      </c>
    </row>
    <row r="30" spans="1:13" s="34" customFormat="1" ht="15" customHeight="1" x14ac:dyDescent="0.35">
      <c r="A30" s="8"/>
      <c r="B30" s="8" t="s">
        <v>177</v>
      </c>
      <c r="C30" s="22" t="s">
        <v>107</v>
      </c>
      <c r="D30" s="22" t="s">
        <v>88</v>
      </c>
      <c r="E30" s="10">
        <v>46099</v>
      </c>
      <c r="F30" s="24">
        <f t="shared" ca="1" si="8"/>
        <v>-2</v>
      </c>
      <c r="G30" s="136">
        <v>3250</v>
      </c>
      <c r="H30" s="8" t="s">
        <v>1</v>
      </c>
      <c r="I30" s="8" t="s">
        <v>3</v>
      </c>
      <c r="J30" s="32" t="s">
        <v>31</v>
      </c>
      <c r="K30" s="33" t="s">
        <v>38</v>
      </c>
      <c r="L30" s="33"/>
      <c r="M30" s="12">
        <f t="shared" si="1"/>
        <v>942.02898550724638</v>
      </c>
    </row>
    <row r="31" spans="1:13" s="34" customFormat="1" ht="15" customHeight="1" x14ac:dyDescent="0.35">
      <c r="A31" s="8"/>
      <c r="B31" s="8" t="s">
        <v>177</v>
      </c>
      <c r="C31" s="22" t="s">
        <v>200</v>
      </c>
      <c r="D31" s="22" t="s">
        <v>0</v>
      </c>
      <c r="E31" s="10">
        <v>46099</v>
      </c>
      <c r="F31" s="24">
        <f t="shared" ca="1" si="8"/>
        <v>-2</v>
      </c>
      <c r="G31" s="136">
        <v>4852</v>
      </c>
      <c r="H31" s="8" t="s">
        <v>1</v>
      </c>
      <c r="I31" s="8" t="s">
        <v>3</v>
      </c>
      <c r="J31" s="32" t="s">
        <v>31</v>
      </c>
      <c r="K31" s="33" t="s">
        <v>38</v>
      </c>
      <c r="L31" s="33"/>
      <c r="M31" s="12">
        <f t="shared" si="1"/>
        <v>1406.3768115942028</v>
      </c>
    </row>
    <row r="32" spans="1:13" s="34" customFormat="1" ht="15" customHeight="1" x14ac:dyDescent="0.35">
      <c r="A32" s="8"/>
      <c r="B32" s="8" t="s">
        <v>177</v>
      </c>
      <c r="C32" s="22" t="s">
        <v>200</v>
      </c>
      <c r="D32" s="22" t="s">
        <v>60</v>
      </c>
      <c r="E32" s="10">
        <v>46100</v>
      </c>
      <c r="F32" s="24">
        <f t="shared" ca="1" si="8"/>
        <v>-3</v>
      </c>
      <c r="G32" s="136">
        <v>4588</v>
      </c>
      <c r="H32" s="8" t="s">
        <v>1</v>
      </c>
      <c r="I32" s="8" t="s">
        <v>3</v>
      </c>
      <c r="J32" s="32" t="s">
        <v>31</v>
      </c>
      <c r="K32" s="33" t="s">
        <v>38</v>
      </c>
      <c r="L32" s="33"/>
      <c r="M32" s="12">
        <f t="shared" si="1"/>
        <v>1329.855072463768</v>
      </c>
    </row>
    <row r="33" spans="1:13" s="34" customFormat="1" ht="15" customHeight="1" x14ac:dyDescent="0.35">
      <c r="A33" s="8" t="s">
        <v>260</v>
      </c>
      <c r="B33" s="8" t="s">
        <v>205</v>
      </c>
      <c r="C33" s="22" t="s">
        <v>20</v>
      </c>
      <c r="D33" s="22" t="s">
        <v>0</v>
      </c>
      <c r="E33" s="10">
        <v>46101</v>
      </c>
      <c r="F33" s="24">
        <f t="shared" ca="1" si="7"/>
        <v>-4</v>
      </c>
      <c r="G33" s="136">
        <v>7557.1</v>
      </c>
      <c r="H33" s="8" t="s">
        <v>2</v>
      </c>
      <c r="I33" s="8" t="s">
        <v>3</v>
      </c>
      <c r="J33" s="32" t="s">
        <v>30</v>
      </c>
      <c r="K33" s="33" t="s">
        <v>38</v>
      </c>
      <c r="L33" s="33"/>
      <c r="M33" s="12">
        <f t="shared" si="1"/>
        <v>7557.1</v>
      </c>
    </row>
    <row r="34" spans="1:13" s="34" customFormat="1" ht="15" customHeight="1" x14ac:dyDescent="0.35">
      <c r="A34" s="8"/>
      <c r="B34" s="8" t="s">
        <v>250</v>
      </c>
      <c r="C34" s="22" t="s">
        <v>52</v>
      </c>
      <c r="D34" s="22" t="s">
        <v>60</v>
      </c>
      <c r="E34" s="10">
        <v>46104</v>
      </c>
      <c r="F34" s="24">
        <f t="shared" ca="1" si="7"/>
        <v>-7</v>
      </c>
      <c r="G34" s="136">
        <v>2250</v>
      </c>
      <c r="H34" s="8" t="s">
        <v>1</v>
      </c>
      <c r="I34" s="8" t="s">
        <v>3</v>
      </c>
      <c r="J34" s="32" t="s">
        <v>251</v>
      </c>
      <c r="K34" s="33" t="s">
        <v>38</v>
      </c>
      <c r="L34" s="33"/>
      <c r="M34" s="12">
        <f t="shared" si="1"/>
        <v>652.17391304347825</v>
      </c>
    </row>
    <row r="35" spans="1:13" s="34" customFormat="1" ht="15" customHeight="1" x14ac:dyDescent="0.35">
      <c r="A35" s="8"/>
      <c r="B35" s="8" t="s">
        <v>177</v>
      </c>
      <c r="C35" s="22" t="s">
        <v>200</v>
      </c>
      <c r="D35" s="22" t="s">
        <v>88</v>
      </c>
      <c r="E35" s="10">
        <v>46104</v>
      </c>
      <c r="F35" s="24">
        <f t="shared" ca="1" si="7"/>
        <v>-7</v>
      </c>
      <c r="G35" s="136">
        <v>2068</v>
      </c>
      <c r="H35" s="8" t="s">
        <v>1</v>
      </c>
      <c r="I35" s="8" t="s">
        <v>3</v>
      </c>
      <c r="J35" s="32" t="s">
        <v>31</v>
      </c>
      <c r="K35" s="33" t="s">
        <v>38</v>
      </c>
      <c r="L35" s="33"/>
      <c r="M35" s="12">
        <f t="shared" si="1"/>
        <v>599.42028985507238</v>
      </c>
    </row>
    <row r="36" spans="1:13" s="34" customFormat="1" ht="15.5" customHeight="1" x14ac:dyDescent="0.35">
      <c r="A36" s="129"/>
      <c r="B36" s="129" t="s">
        <v>201</v>
      </c>
      <c r="C36" s="158" t="s">
        <v>144</v>
      </c>
      <c r="D36" s="158" t="s">
        <v>88</v>
      </c>
      <c r="E36" s="134">
        <v>46105</v>
      </c>
      <c r="F36" s="135">
        <f t="shared" ca="1" si="7"/>
        <v>-8</v>
      </c>
      <c r="G36" s="159">
        <v>11778.38</v>
      </c>
      <c r="H36" s="129" t="s">
        <v>1</v>
      </c>
      <c r="I36" s="129" t="s">
        <v>4</v>
      </c>
      <c r="J36" s="160" t="s">
        <v>27</v>
      </c>
      <c r="K36" s="161" t="s">
        <v>38</v>
      </c>
      <c r="L36" s="162"/>
      <c r="M36" s="12">
        <f t="shared" si="1"/>
        <v>3414.0231884057966</v>
      </c>
    </row>
    <row r="37" spans="1:13" s="34" customFormat="1" ht="15" customHeight="1" x14ac:dyDescent="0.35">
      <c r="A37" s="8">
        <v>162600756</v>
      </c>
      <c r="B37" s="8" t="s">
        <v>206</v>
      </c>
      <c r="C37" s="22" t="s">
        <v>103</v>
      </c>
      <c r="D37" s="22" t="s">
        <v>88</v>
      </c>
      <c r="E37" s="10">
        <v>46108</v>
      </c>
      <c r="F37" s="24">
        <f t="shared" ca="1" si="7"/>
        <v>-11</v>
      </c>
      <c r="G37" s="136">
        <v>54124.480000000003</v>
      </c>
      <c r="H37" s="8" t="s">
        <v>2</v>
      </c>
      <c r="I37" s="8" t="s">
        <v>4</v>
      </c>
      <c r="J37" s="32" t="s">
        <v>32</v>
      </c>
      <c r="K37" s="33" t="s">
        <v>38</v>
      </c>
      <c r="L37" s="33"/>
      <c r="M37" s="12">
        <f t="shared" si="1"/>
        <v>54124.480000000003</v>
      </c>
    </row>
    <row r="38" spans="1:13" s="34" customFormat="1" ht="15" customHeight="1" x14ac:dyDescent="0.35">
      <c r="A38" s="8" t="s">
        <v>261</v>
      </c>
      <c r="B38" s="8" t="s">
        <v>239</v>
      </c>
      <c r="C38" s="22" t="s">
        <v>24</v>
      </c>
      <c r="D38" s="22" t="s">
        <v>0</v>
      </c>
      <c r="E38" s="10">
        <v>46110</v>
      </c>
      <c r="F38" s="24">
        <f t="shared" ca="1" si="7"/>
        <v>-13</v>
      </c>
      <c r="G38" s="136">
        <v>5994.4</v>
      </c>
      <c r="H38" s="8" t="s">
        <v>2</v>
      </c>
      <c r="I38" s="8" t="s">
        <v>3</v>
      </c>
      <c r="J38" s="32" t="s">
        <v>39</v>
      </c>
      <c r="K38" s="33" t="s">
        <v>38</v>
      </c>
      <c r="L38" s="33"/>
      <c r="M38" s="12">
        <f t="shared" si="1"/>
        <v>5994.4</v>
      </c>
    </row>
    <row r="39" spans="1:13" s="34" customFormat="1" x14ac:dyDescent="0.35">
      <c r="A39" s="125" t="s">
        <v>159</v>
      </c>
      <c r="B39" s="125" t="s">
        <v>43</v>
      </c>
      <c r="C39" s="187" t="s">
        <v>158</v>
      </c>
      <c r="D39" s="199" t="s">
        <v>88</v>
      </c>
      <c r="E39" s="188">
        <v>46111</v>
      </c>
      <c r="F39" s="131">
        <f t="shared" ca="1" si="5"/>
        <v>-14</v>
      </c>
      <c r="G39" s="189">
        <v>9768.16</v>
      </c>
      <c r="H39" s="125" t="s">
        <v>1</v>
      </c>
      <c r="I39" s="126" t="s">
        <v>3</v>
      </c>
      <c r="J39" s="190" t="s">
        <v>27</v>
      </c>
      <c r="K39" s="191" t="s">
        <v>38</v>
      </c>
      <c r="L39" s="191"/>
      <c r="M39" s="12">
        <f t="shared" si="1"/>
        <v>2831.3507246376812</v>
      </c>
    </row>
    <row r="40" spans="1:13" x14ac:dyDescent="0.35">
      <c r="A40" s="113" t="s">
        <v>162</v>
      </c>
      <c r="B40" s="113" t="s">
        <v>163</v>
      </c>
      <c r="C40" s="127" t="s">
        <v>18</v>
      </c>
      <c r="D40" s="127" t="s">
        <v>0</v>
      </c>
      <c r="E40" s="133">
        <v>46111</v>
      </c>
      <c r="F40" s="203">
        <f t="shared" ca="1" si="5"/>
        <v>-14</v>
      </c>
      <c r="G40" s="202">
        <v>22884.54</v>
      </c>
      <c r="H40" s="113" t="s">
        <v>1</v>
      </c>
      <c r="I40" s="113" t="s">
        <v>3</v>
      </c>
      <c r="J40" s="204" t="s">
        <v>27</v>
      </c>
      <c r="K40" s="200" t="s">
        <v>38</v>
      </c>
      <c r="L40" s="201"/>
      <c r="M40" s="12">
        <f t="shared" si="1"/>
        <v>6633.2</v>
      </c>
    </row>
    <row r="41" spans="1:13" s="34" customFormat="1" x14ac:dyDescent="0.35">
      <c r="A41" s="8">
        <v>2025</v>
      </c>
      <c r="B41" s="8" t="s">
        <v>194</v>
      </c>
      <c r="C41" s="22" t="s">
        <v>109</v>
      </c>
      <c r="D41" s="22" t="s">
        <v>0</v>
      </c>
      <c r="E41" s="10">
        <v>46112</v>
      </c>
      <c r="F41" s="27">
        <f t="shared" ca="1" si="5"/>
        <v>-15</v>
      </c>
      <c r="G41" s="136">
        <v>47646</v>
      </c>
      <c r="H41" s="8" t="s">
        <v>1</v>
      </c>
      <c r="I41" s="8" t="s">
        <v>3</v>
      </c>
      <c r="J41" s="32" t="s">
        <v>31</v>
      </c>
      <c r="K41" s="33" t="s">
        <v>38</v>
      </c>
      <c r="L41" s="33"/>
      <c r="M41" s="12">
        <f t="shared" si="1"/>
        <v>13810.434782608694</v>
      </c>
    </row>
    <row r="42" spans="1:13" s="34" customFormat="1" x14ac:dyDescent="0.35">
      <c r="A42" s="8" t="s">
        <v>262</v>
      </c>
      <c r="B42" s="8" t="s">
        <v>208</v>
      </c>
      <c r="C42" s="22" t="s">
        <v>124</v>
      </c>
      <c r="D42" s="22" t="s">
        <v>0</v>
      </c>
      <c r="E42" s="10">
        <v>46112</v>
      </c>
      <c r="F42" s="27">
        <f t="shared" ca="1" si="5"/>
        <v>-15</v>
      </c>
      <c r="G42" s="136">
        <v>1552</v>
      </c>
      <c r="H42" s="8" t="s">
        <v>2</v>
      </c>
      <c r="I42" s="8" t="s">
        <v>3</v>
      </c>
      <c r="J42" s="32" t="s">
        <v>203</v>
      </c>
      <c r="K42" s="33" t="s">
        <v>38</v>
      </c>
      <c r="L42" s="33"/>
      <c r="M42" s="12">
        <f t="shared" si="1"/>
        <v>1552</v>
      </c>
    </row>
    <row r="43" spans="1:13" s="34" customFormat="1" x14ac:dyDescent="0.35">
      <c r="A43" s="211"/>
      <c r="B43" s="211"/>
      <c r="C43" s="208" t="s">
        <v>14</v>
      </c>
      <c r="D43" s="208" t="s">
        <v>88</v>
      </c>
      <c r="E43" s="217">
        <v>46113</v>
      </c>
      <c r="F43" s="218">
        <v>0</v>
      </c>
      <c r="G43" s="210">
        <v>16000</v>
      </c>
      <c r="H43" s="211" t="s">
        <v>1</v>
      </c>
      <c r="I43" s="211" t="s">
        <v>3</v>
      </c>
      <c r="J43" s="219" t="s">
        <v>15</v>
      </c>
      <c r="K43" s="220" t="s">
        <v>38</v>
      </c>
      <c r="L43" s="220"/>
      <c r="M43" s="12">
        <f t="shared" si="1"/>
        <v>4637.68115942029</v>
      </c>
    </row>
    <row r="44" spans="1:13" s="34" customFormat="1" x14ac:dyDescent="0.35">
      <c r="A44" s="211"/>
      <c r="B44" s="211"/>
      <c r="C44" s="208" t="s">
        <v>14</v>
      </c>
      <c r="D44" s="208" t="s">
        <v>0</v>
      </c>
      <c r="E44" s="217">
        <v>46113</v>
      </c>
      <c r="F44" s="218">
        <v>0</v>
      </c>
      <c r="G44" s="210">
        <v>25000</v>
      </c>
      <c r="H44" s="211" t="s">
        <v>1</v>
      </c>
      <c r="I44" s="211" t="s">
        <v>3</v>
      </c>
      <c r="J44" s="219" t="s">
        <v>15</v>
      </c>
      <c r="K44" s="220" t="s">
        <v>38</v>
      </c>
      <c r="L44" s="220"/>
      <c r="M44" s="12">
        <f t="shared" si="1"/>
        <v>7246.3768115942021</v>
      </c>
    </row>
    <row r="45" spans="1:13" s="34" customFormat="1" x14ac:dyDescent="0.35">
      <c r="A45" s="211"/>
      <c r="B45" s="211"/>
      <c r="C45" s="208" t="s">
        <v>14</v>
      </c>
      <c r="D45" s="208" t="s">
        <v>60</v>
      </c>
      <c r="E45" s="217">
        <v>46113</v>
      </c>
      <c r="F45" s="218">
        <v>0</v>
      </c>
      <c r="G45" s="210">
        <v>25000</v>
      </c>
      <c r="H45" s="211" t="s">
        <v>1</v>
      </c>
      <c r="I45" s="211" t="s">
        <v>3</v>
      </c>
      <c r="J45" s="219" t="s">
        <v>15</v>
      </c>
      <c r="K45" s="220" t="s">
        <v>38</v>
      </c>
      <c r="L45" s="220"/>
      <c r="M45" s="12">
        <f t="shared" si="1"/>
        <v>7246.3768115942021</v>
      </c>
    </row>
    <row r="46" spans="1:13" s="34" customFormat="1" x14ac:dyDescent="0.35">
      <c r="A46" s="211"/>
      <c r="B46" s="211"/>
      <c r="C46" s="208" t="s">
        <v>14</v>
      </c>
      <c r="D46" s="208" t="s">
        <v>41</v>
      </c>
      <c r="E46" s="217">
        <v>46113</v>
      </c>
      <c r="F46" s="218">
        <v>0</v>
      </c>
      <c r="G46" s="210">
        <v>25000</v>
      </c>
      <c r="H46" s="211" t="s">
        <v>1</v>
      </c>
      <c r="I46" s="211" t="s">
        <v>3</v>
      </c>
      <c r="J46" s="219" t="s">
        <v>15</v>
      </c>
      <c r="K46" s="220" t="s">
        <v>38</v>
      </c>
      <c r="L46" s="220"/>
      <c r="M46" s="12">
        <f t="shared" si="1"/>
        <v>7246.3768115942021</v>
      </c>
    </row>
    <row r="47" spans="1:13" s="34" customFormat="1" x14ac:dyDescent="0.35">
      <c r="A47" s="8"/>
      <c r="B47" s="8" t="s">
        <v>278</v>
      </c>
      <c r="C47" s="22" t="s">
        <v>103</v>
      </c>
      <c r="D47" s="22" t="s">
        <v>0</v>
      </c>
      <c r="E47" s="10">
        <v>46115</v>
      </c>
      <c r="F47" s="27">
        <f t="shared" ref="F47" ca="1" si="9">+$B$1-E47</f>
        <v>-18</v>
      </c>
      <c r="G47" s="136">
        <v>22420</v>
      </c>
      <c r="H47" s="8" t="s">
        <v>2</v>
      </c>
      <c r="I47" s="8" t="s">
        <v>37</v>
      </c>
      <c r="J47" s="32" t="s">
        <v>279</v>
      </c>
      <c r="K47" s="33" t="s">
        <v>38</v>
      </c>
      <c r="L47" s="33"/>
      <c r="M47" s="12">
        <f t="shared" si="1"/>
        <v>22420</v>
      </c>
    </row>
    <row r="48" spans="1:13" s="34" customFormat="1" x14ac:dyDescent="0.35">
      <c r="A48" s="8" t="s">
        <v>242</v>
      </c>
      <c r="B48" s="8" t="s">
        <v>210</v>
      </c>
      <c r="C48" s="22" t="s">
        <v>42</v>
      </c>
      <c r="D48" s="22" t="s">
        <v>60</v>
      </c>
      <c r="E48" s="10">
        <v>46118</v>
      </c>
      <c r="F48" s="27">
        <f t="shared" ref="F48:F50" ca="1" si="10">+$B$1-E48</f>
        <v>-21</v>
      </c>
      <c r="G48" s="136">
        <v>619.5</v>
      </c>
      <c r="H48" s="8" t="s">
        <v>2</v>
      </c>
      <c r="I48" s="8" t="s">
        <v>244</v>
      </c>
      <c r="J48" s="32" t="s">
        <v>28</v>
      </c>
      <c r="K48" s="33" t="s">
        <v>38</v>
      </c>
      <c r="L48" s="33"/>
      <c r="M48" s="12">
        <f t="shared" si="1"/>
        <v>619.5</v>
      </c>
    </row>
    <row r="49" spans="1:14" s="34" customFormat="1" x14ac:dyDescent="0.35">
      <c r="A49" s="8" t="s">
        <v>243</v>
      </c>
      <c r="B49" s="8" t="s">
        <v>211</v>
      </c>
      <c r="C49" s="22" t="s">
        <v>42</v>
      </c>
      <c r="D49" s="22" t="s">
        <v>60</v>
      </c>
      <c r="E49" s="10">
        <v>46118</v>
      </c>
      <c r="F49" s="27">
        <f t="shared" ca="1" si="10"/>
        <v>-21</v>
      </c>
      <c r="G49" s="136">
        <v>3327.6</v>
      </c>
      <c r="H49" s="8" t="s">
        <v>2</v>
      </c>
      <c r="I49" s="8" t="s">
        <v>244</v>
      </c>
      <c r="J49" s="32" t="s">
        <v>28</v>
      </c>
      <c r="K49" s="33" t="s">
        <v>38</v>
      </c>
      <c r="L49" s="33"/>
      <c r="M49" s="12">
        <f t="shared" si="1"/>
        <v>3327.6</v>
      </c>
    </row>
    <row r="50" spans="1:14" s="34" customFormat="1" x14ac:dyDescent="0.35">
      <c r="A50" s="238" t="s">
        <v>197</v>
      </c>
      <c r="B50" s="238" t="s">
        <v>212</v>
      </c>
      <c r="C50" s="240" t="s">
        <v>46</v>
      </c>
      <c r="D50" s="240" t="s">
        <v>60</v>
      </c>
      <c r="E50" s="241">
        <v>46119</v>
      </c>
      <c r="F50" s="237">
        <f t="shared" ca="1" si="10"/>
        <v>-22</v>
      </c>
      <c r="G50" s="242">
        <v>186477.4</v>
      </c>
      <c r="H50" s="239" t="s">
        <v>1</v>
      </c>
      <c r="I50" s="239" t="s">
        <v>3</v>
      </c>
      <c r="J50" s="238" t="s">
        <v>195</v>
      </c>
      <c r="K50" s="238" t="s">
        <v>38</v>
      </c>
      <c r="L50" s="238"/>
      <c r="M50" s="12">
        <f t="shared" si="1"/>
        <v>54051.420289855065</v>
      </c>
    </row>
    <row r="51" spans="1:14" s="34" customFormat="1" x14ac:dyDescent="0.35">
      <c r="A51" s="238" t="s">
        <v>214</v>
      </c>
      <c r="B51" s="238" t="s">
        <v>215</v>
      </c>
      <c r="C51" s="240" t="s">
        <v>46</v>
      </c>
      <c r="D51" s="240" t="s">
        <v>0</v>
      </c>
      <c r="E51" s="241">
        <v>46120</v>
      </c>
      <c r="F51" s="237">
        <f t="shared" ref="F51:F53" ca="1" si="11">+$B$1-E51</f>
        <v>-23</v>
      </c>
      <c r="G51" s="242">
        <v>51253.29</v>
      </c>
      <c r="H51" s="239" t="s">
        <v>2</v>
      </c>
      <c r="I51" s="239" t="s">
        <v>3</v>
      </c>
      <c r="J51" s="238" t="s">
        <v>195</v>
      </c>
      <c r="K51" s="238" t="s">
        <v>38</v>
      </c>
      <c r="L51" s="238"/>
      <c r="M51" s="12">
        <f t="shared" si="1"/>
        <v>51253.29</v>
      </c>
      <c r="N51" s="34" t="s">
        <v>217</v>
      </c>
    </row>
    <row r="52" spans="1:14" s="34" customFormat="1" x14ac:dyDescent="0.35">
      <c r="A52" s="263"/>
      <c r="B52" s="263"/>
      <c r="C52" s="264" t="s">
        <v>213</v>
      </c>
      <c r="D52" s="264" t="s">
        <v>60</v>
      </c>
      <c r="E52" s="265">
        <v>46120</v>
      </c>
      <c r="F52" s="266">
        <f t="shared" ca="1" si="11"/>
        <v>-23</v>
      </c>
      <c r="G52" s="153">
        <v>20000</v>
      </c>
      <c r="H52" s="263" t="s">
        <v>1</v>
      </c>
      <c r="I52" s="263" t="s">
        <v>3</v>
      </c>
      <c r="J52" s="267" t="s">
        <v>47</v>
      </c>
      <c r="K52" s="268" t="s">
        <v>38</v>
      </c>
      <c r="L52" s="268"/>
      <c r="M52" s="12">
        <f t="shared" si="1"/>
        <v>5797.101449275362</v>
      </c>
    </row>
    <row r="53" spans="1:14" s="34" customFormat="1" x14ac:dyDescent="0.35">
      <c r="A53" s="263"/>
      <c r="B53" s="263"/>
      <c r="C53" s="264" t="s">
        <v>213</v>
      </c>
      <c r="D53" s="264" t="s">
        <v>0</v>
      </c>
      <c r="E53" s="265">
        <v>46120</v>
      </c>
      <c r="F53" s="266">
        <f t="shared" ca="1" si="11"/>
        <v>-23</v>
      </c>
      <c r="G53" s="153">
        <v>20000</v>
      </c>
      <c r="H53" s="263" t="s">
        <v>1</v>
      </c>
      <c r="I53" s="263" t="s">
        <v>3</v>
      </c>
      <c r="J53" s="267" t="s">
        <v>47</v>
      </c>
      <c r="K53" s="268" t="s">
        <v>38</v>
      </c>
      <c r="L53" s="268"/>
      <c r="M53" s="12">
        <f t="shared" si="1"/>
        <v>5797.101449275362</v>
      </c>
    </row>
    <row r="54" spans="1:14" s="34" customFormat="1" ht="15" customHeight="1" x14ac:dyDescent="0.35">
      <c r="A54" s="8" t="s">
        <v>183</v>
      </c>
      <c r="B54" s="125" t="s">
        <v>184</v>
      </c>
      <c r="C54" s="199" t="s">
        <v>182</v>
      </c>
      <c r="D54" s="199" t="s">
        <v>41</v>
      </c>
      <c r="E54" s="205">
        <v>46125</v>
      </c>
      <c r="F54" s="206">
        <f t="shared" ca="1" si="5"/>
        <v>-28</v>
      </c>
      <c r="G54" s="207">
        <v>30099.17</v>
      </c>
      <c r="H54" s="125" t="s">
        <v>1</v>
      </c>
      <c r="I54" s="126" t="s">
        <v>4</v>
      </c>
      <c r="J54" s="32" t="s">
        <v>27</v>
      </c>
      <c r="K54" s="33" t="s">
        <v>38</v>
      </c>
      <c r="L54" s="33"/>
      <c r="M54" s="12">
        <f t="shared" si="1"/>
        <v>8724.3971014492745</v>
      </c>
    </row>
    <row r="55" spans="1:14" s="34" customFormat="1" ht="15" customHeight="1" x14ac:dyDescent="0.35">
      <c r="A55" s="211"/>
      <c r="B55" s="211"/>
      <c r="C55" s="208" t="s">
        <v>14</v>
      </c>
      <c r="D55" s="208" t="s">
        <v>88</v>
      </c>
      <c r="E55" s="217">
        <v>46127</v>
      </c>
      <c r="F55" s="218">
        <f t="shared" ca="1" si="5"/>
        <v>-30</v>
      </c>
      <c r="G55" s="210">
        <v>13000</v>
      </c>
      <c r="H55" s="211" t="s">
        <v>1</v>
      </c>
      <c r="I55" s="211" t="s">
        <v>3</v>
      </c>
      <c r="J55" s="219" t="s">
        <v>15</v>
      </c>
      <c r="K55" s="220" t="s">
        <v>38</v>
      </c>
      <c r="L55" s="220"/>
      <c r="M55" s="12">
        <f t="shared" si="1"/>
        <v>3768.1159420289855</v>
      </c>
    </row>
    <row r="56" spans="1:14" s="34" customFormat="1" ht="15" customHeight="1" x14ac:dyDescent="0.35">
      <c r="A56" s="211"/>
      <c r="B56" s="211"/>
      <c r="C56" s="208" t="s">
        <v>14</v>
      </c>
      <c r="D56" s="208" t="s">
        <v>0</v>
      </c>
      <c r="E56" s="217">
        <v>46127</v>
      </c>
      <c r="F56" s="218">
        <f t="shared" ca="1" si="5"/>
        <v>-30</v>
      </c>
      <c r="G56" s="210">
        <v>21000</v>
      </c>
      <c r="H56" s="211" t="s">
        <v>1</v>
      </c>
      <c r="I56" s="211" t="s">
        <v>3</v>
      </c>
      <c r="J56" s="219" t="s">
        <v>15</v>
      </c>
      <c r="K56" s="220" t="s">
        <v>38</v>
      </c>
      <c r="L56" s="220"/>
      <c r="M56" s="12">
        <f t="shared" si="1"/>
        <v>6086.95652173913</v>
      </c>
    </row>
    <row r="57" spans="1:14" s="34" customFormat="1" ht="15" customHeight="1" x14ac:dyDescent="0.35">
      <c r="A57" s="211"/>
      <c r="B57" s="211"/>
      <c r="C57" s="208" t="s">
        <v>14</v>
      </c>
      <c r="D57" s="208" t="s">
        <v>60</v>
      </c>
      <c r="E57" s="217">
        <v>46127</v>
      </c>
      <c r="F57" s="218">
        <f t="shared" ca="1" si="5"/>
        <v>-30</v>
      </c>
      <c r="G57" s="210">
        <v>21000</v>
      </c>
      <c r="H57" s="211" t="s">
        <v>1</v>
      </c>
      <c r="I57" s="211" t="s">
        <v>3</v>
      </c>
      <c r="J57" s="219" t="s">
        <v>15</v>
      </c>
      <c r="K57" s="220" t="s">
        <v>38</v>
      </c>
      <c r="L57" s="220"/>
      <c r="M57" s="12">
        <f t="shared" si="1"/>
        <v>6086.95652173913</v>
      </c>
    </row>
    <row r="58" spans="1:14" s="34" customFormat="1" ht="15" customHeight="1" x14ac:dyDescent="0.35">
      <c r="A58" s="211"/>
      <c r="B58" s="211"/>
      <c r="C58" s="208" t="s">
        <v>14</v>
      </c>
      <c r="D58" s="208" t="s">
        <v>41</v>
      </c>
      <c r="E58" s="217">
        <v>46127</v>
      </c>
      <c r="F58" s="218">
        <f t="shared" ca="1" si="5"/>
        <v>-30</v>
      </c>
      <c r="G58" s="210">
        <v>8000</v>
      </c>
      <c r="H58" s="211" t="s">
        <v>1</v>
      </c>
      <c r="I58" s="211" t="s">
        <v>3</v>
      </c>
      <c r="J58" s="219" t="s">
        <v>15</v>
      </c>
      <c r="K58" s="220" t="s">
        <v>38</v>
      </c>
      <c r="L58" s="220"/>
      <c r="M58" s="12">
        <f t="shared" si="1"/>
        <v>2318.840579710145</v>
      </c>
    </row>
    <row r="59" spans="1:14" s="34" customFormat="1" ht="15" customHeight="1" x14ac:dyDescent="0.35">
      <c r="A59" s="8"/>
      <c r="B59" s="8" t="s">
        <v>235</v>
      </c>
      <c r="C59" s="22" t="s">
        <v>17</v>
      </c>
      <c r="D59" s="22" t="s">
        <v>60</v>
      </c>
      <c r="E59" s="10">
        <v>46127</v>
      </c>
      <c r="F59" s="24">
        <f t="shared" ref="F59:F60" ca="1" si="12">+$B$1-E59</f>
        <v>-30</v>
      </c>
      <c r="G59" s="136">
        <v>1298.72</v>
      </c>
      <c r="H59" s="8" t="s">
        <v>2</v>
      </c>
      <c r="I59" s="8" t="s">
        <v>37</v>
      </c>
      <c r="J59" s="32" t="s">
        <v>30</v>
      </c>
      <c r="K59" s="33" t="s">
        <v>38</v>
      </c>
      <c r="L59" s="33"/>
      <c r="M59" s="12">
        <f t="shared" si="1"/>
        <v>1298.72</v>
      </c>
    </row>
    <row r="60" spans="1:14" s="34" customFormat="1" ht="15" customHeight="1" x14ac:dyDescent="0.35">
      <c r="A60" s="8"/>
      <c r="B60" s="8" t="s">
        <v>258</v>
      </c>
      <c r="C60" s="22" t="s">
        <v>16</v>
      </c>
      <c r="D60" s="22" t="s">
        <v>60</v>
      </c>
      <c r="E60" s="10">
        <v>46131</v>
      </c>
      <c r="F60" s="24">
        <f t="shared" ca="1" si="12"/>
        <v>-34</v>
      </c>
      <c r="G60" s="136">
        <v>6095.88</v>
      </c>
      <c r="H60" s="8" t="s">
        <v>1</v>
      </c>
      <c r="I60" s="8" t="s">
        <v>37</v>
      </c>
      <c r="J60" s="32" t="s">
        <v>35</v>
      </c>
      <c r="K60" s="33" t="s">
        <v>38</v>
      </c>
      <c r="L60" s="33"/>
      <c r="M60" s="12">
        <f t="shared" si="1"/>
        <v>1766.9217391304346</v>
      </c>
    </row>
    <row r="61" spans="1:14" s="34" customFormat="1" ht="15" customHeight="1" x14ac:dyDescent="0.35">
      <c r="A61" s="8"/>
      <c r="B61" s="8" t="s">
        <v>231</v>
      </c>
      <c r="C61" s="22" t="s">
        <v>20</v>
      </c>
      <c r="D61" s="22" t="s">
        <v>60</v>
      </c>
      <c r="E61" s="10">
        <v>46134</v>
      </c>
      <c r="F61" s="24">
        <f t="shared" ca="1" si="5"/>
        <v>-37</v>
      </c>
      <c r="G61" s="136">
        <v>6499.86</v>
      </c>
      <c r="H61" s="8" t="s">
        <v>2</v>
      </c>
      <c r="I61" s="8" t="s">
        <v>37</v>
      </c>
      <c r="J61" s="32" t="s">
        <v>30</v>
      </c>
      <c r="K61" s="33" t="s">
        <v>38</v>
      </c>
      <c r="L61" s="33"/>
      <c r="M61" s="12">
        <f t="shared" si="1"/>
        <v>6499.86</v>
      </c>
    </row>
    <row r="62" spans="1:14" s="34" customFormat="1" ht="15" customHeight="1" x14ac:dyDescent="0.35">
      <c r="A62" s="8" t="s">
        <v>273</v>
      </c>
      <c r="B62" s="8" t="s">
        <v>229</v>
      </c>
      <c r="C62" s="22" t="s">
        <v>103</v>
      </c>
      <c r="D62" s="22" t="s">
        <v>88</v>
      </c>
      <c r="E62" s="10">
        <v>46136</v>
      </c>
      <c r="F62" s="24">
        <f ca="1">+$B$1-E62</f>
        <v>-39</v>
      </c>
      <c r="G62" s="136">
        <v>27044.89</v>
      </c>
      <c r="H62" s="8" t="s">
        <v>2</v>
      </c>
      <c r="I62" s="8" t="s">
        <v>4</v>
      </c>
      <c r="J62" s="32" t="s">
        <v>32</v>
      </c>
      <c r="K62" s="33" t="s">
        <v>38</v>
      </c>
      <c r="L62" s="33"/>
      <c r="M62" s="12">
        <f t="shared" si="1"/>
        <v>27044.89</v>
      </c>
    </row>
    <row r="63" spans="1:14" s="34" customFormat="1" ht="15.5" customHeight="1" x14ac:dyDescent="0.35">
      <c r="A63" s="129"/>
      <c r="B63" s="129" t="s">
        <v>202</v>
      </c>
      <c r="C63" s="158" t="s">
        <v>144</v>
      </c>
      <c r="D63" s="158" t="s">
        <v>88</v>
      </c>
      <c r="E63" s="134">
        <v>46136</v>
      </c>
      <c r="F63" s="135">
        <f t="shared" ref="F63" ca="1" si="13">+$B$1-E63</f>
        <v>-39</v>
      </c>
      <c r="G63" s="159">
        <v>11778.38</v>
      </c>
      <c r="H63" s="129" t="s">
        <v>1</v>
      </c>
      <c r="I63" s="129" t="s">
        <v>4</v>
      </c>
      <c r="J63" s="160" t="s">
        <v>27</v>
      </c>
      <c r="K63" s="161" t="s">
        <v>38</v>
      </c>
      <c r="L63" s="162"/>
      <c r="M63" s="12">
        <f t="shared" si="1"/>
        <v>3414.0231884057966</v>
      </c>
    </row>
    <row r="64" spans="1:14" s="34" customFormat="1" ht="15" customHeight="1" x14ac:dyDescent="0.35">
      <c r="A64" s="8"/>
      <c r="B64" s="8" t="s">
        <v>236</v>
      </c>
      <c r="C64" s="22" t="s">
        <v>42</v>
      </c>
      <c r="D64" s="22" t="s">
        <v>60</v>
      </c>
      <c r="E64" s="10">
        <v>46139</v>
      </c>
      <c r="F64" s="24">
        <f ca="1">+$B$1-E64</f>
        <v>-42</v>
      </c>
      <c r="G64" s="136">
        <v>826</v>
      </c>
      <c r="H64" s="8" t="s">
        <v>2</v>
      </c>
      <c r="I64" s="8" t="s">
        <v>37</v>
      </c>
      <c r="J64" s="32" t="s">
        <v>28</v>
      </c>
      <c r="K64" s="33" t="s">
        <v>38</v>
      </c>
      <c r="L64" s="33"/>
      <c r="M64" s="12">
        <f t="shared" si="1"/>
        <v>826</v>
      </c>
    </row>
    <row r="65" spans="1:14" s="34" customFormat="1" ht="15" customHeight="1" x14ac:dyDescent="0.35">
      <c r="A65" s="8"/>
      <c r="B65" s="8" t="s">
        <v>237</v>
      </c>
      <c r="C65" s="22" t="s">
        <v>42</v>
      </c>
      <c r="D65" s="22" t="s">
        <v>60</v>
      </c>
      <c r="E65" s="10">
        <v>46139</v>
      </c>
      <c r="F65" s="24">
        <f ca="1">+$B$1-E65</f>
        <v>-42</v>
      </c>
      <c r="G65" s="136">
        <v>2218.4</v>
      </c>
      <c r="H65" s="8" t="s">
        <v>2</v>
      </c>
      <c r="I65" s="8" t="s">
        <v>37</v>
      </c>
      <c r="J65" s="32" t="s">
        <v>28</v>
      </c>
      <c r="K65" s="33" t="s">
        <v>38</v>
      </c>
      <c r="L65" s="33"/>
      <c r="M65" s="12">
        <f t="shared" si="1"/>
        <v>2218.4</v>
      </c>
    </row>
    <row r="66" spans="1:14" s="34" customFormat="1" ht="15" customHeight="1" x14ac:dyDescent="0.35">
      <c r="A66" s="8"/>
      <c r="B66" s="8" t="s">
        <v>238</v>
      </c>
      <c r="C66" s="22" t="s">
        <v>20</v>
      </c>
      <c r="D66" s="22" t="s">
        <v>0</v>
      </c>
      <c r="E66" s="10">
        <v>46139</v>
      </c>
      <c r="F66" s="24">
        <f ca="1">+$B$1-E66</f>
        <v>-42</v>
      </c>
      <c r="G66" s="136">
        <v>8366.39</v>
      </c>
      <c r="H66" s="8" t="s">
        <v>2</v>
      </c>
      <c r="I66" s="8" t="s">
        <v>37</v>
      </c>
      <c r="J66" s="32" t="s">
        <v>30</v>
      </c>
      <c r="K66" s="33" t="s">
        <v>38</v>
      </c>
      <c r="L66" s="33"/>
      <c r="M66" s="12">
        <f t="shared" si="1"/>
        <v>8366.39</v>
      </c>
    </row>
    <row r="67" spans="1:14" s="34" customFormat="1" ht="15" customHeight="1" x14ac:dyDescent="0.35">
      <c r="A67" s="8"/>
      <c r="B67" s="8" t="s">
        <v>275</v>
      </c>
      <c r="C67" s="22" t="s">
        <v>24</v>
      </c>
      <c r="D67" s="22" t="s">
        <v>0</v>
      </c>
      <c r="E67" s="10">
        <v>46139</v>
      </c>
      <c r="F67" s="24">
        <f ca="1">+$B$1-E67</f>
        <v>-42</v>
      </c>
      <c r="G67" s="136">
        <v>5994.4</v>
      </c>
      <c r="H67" s="8" t="s">
        <v>2</v>
      </c>
      <c r="I67" s="8" t="s">
        <v>3</v>
      </c>
      <c r="J67" s="32" t="s">
        <v>39</v>
      </c>
      <c r="K67" s="33" t="s">
        <v>38</v>
      </c>
      <c r="L67" s="33"/>
      <c r="M67" s="12">
        <f t="shared" si="1"/>
        <v>5994.4</v>
      </c>
    </row>
    <row r="68" spans="1:14" s="34" customFormat="1" x14ac:dyDescent="0.35">
      <c r="A68" s="8" t="s">
        <v>254</v>
      </c>
      <c r="B68" s="8" t="s">
        <v>151</v>
      </c>
      <c r="C68" s="22" t="s">
        <v>145</v>
      </c>
      <c r="D68" s="22" t="s">
        <v>60</v>
      </c>
      <c r="E68" s="10">
        <v>46138</v>
      </c>
      <c r="F68" s="27">
        <f t="shared" ref="F68" ca="1" si="14">+$B$1-E68</f>
        <v>-41</v>
      </c>
      <c r="G68" s="136">
        <v>160</v>
      </c>
      <c r="H68" s="8" t="s">
        <v>1</v>
      </c>
      <c r="I68" s="8" t="s">
        <v>3</v>
      </c>
      <c r="J68" s="32" t="s">
        <v>145</v>
      </c>
      <c r="K68" s="33" t="s">
        <v>38</v>
      </c>
      <c r="L68" s="33"/>
      <c r="M68" s="12">
        <f t="shared" si="1"/>
        <v>46.376811594202898</v>
      </c>
    </row>
    <row r="69" spans="1:14" x14ac:dyDescent="0.35">
      <c r="A69" s="113" t="s">
        <v>162</v>
      </c>
      <c r="B69" s="113" t="s">
        <v>164</v>
      </c>
      <c r="C69" s="127" t="s">
        <v>18</v>
      </c>
      <c r="D69" s="127" t="s">
        <v>0</v>
      </c>
      <c r="E69" s="133">
        <v>46140</v>
      </c>
      <c r="F69" s="203">
        <f t="shared" ca="1" si="5"/>
        <v>-43</v>
      </c>
      <c r="G69" s="202">
        <v>22961.27</v>
      </c>
      <c r="H69" s="113" t="s">
        <v>1</v>
      </c>
      <c r="I69" s="113" t="s">
        <v>3</v>
      </c>
      <c r="J69" s="204" t="s">
        <v>27</v>
      </c>
      <c r="K69" s="200" t="s">
        <v>38</v>
      </c>
      <c r="L69" s="201"/>
      <c r="M69" s="12">
        <f t="shared" ref="M69:M132" si="15">+IF(H69="SOLES",(G69/$F$1),(G69))</f>
        <v>6655.4405797101444</v>
      </c>
    </row>
    <row r="70" spans="1:14" s="34" customFormat="1" x14ac:dyDescent="0.35">
      <c r="A70" s="125" t="s">
        <v>159</v>
      </c>
      <c r="B70" s="125" t="s">
        <v>44</v>
      </c>
      <c r="C70" s="187" t="s">
        <v>158</v>
      </c>
      <c r="D70" s="199" t="s">
        <v>88</v>
      </c>
      <c r="E70" s="188">
        <v>46142</v>
      </c>
      <c r="F70" s="131">
        <f t="shared" ca="1" si="5"/>
        <v>-45</v>
      </c>
      <c r="G70" s="189">
        <v>9768.16</v>
      </c>
      <c r="H70" s="125" t="s">
        <v>1</v>
      </c>
      <c r="I70" s="126" t="s">
        <v>3</v>
      </c>
      <c r="J70" s="190" t="s">
        <v>27</v>
      </c>
      <c r="K70" s="191" t="s">
        <v>38</v>
      </c>
      <c r="L70" s="191"/>
      <c r="M70" s="12">
        <f t="shared" si="15"/>
        <v>2831.3507246376812</v>
      </c>
    </row>
    <row r="71" spans="1:14" s="34" customFormat="1" x14ac:dyDescent="0.35">
      <c r="A71" s="8">
        <v>2024</v>
      </c>
      <c r="B71" s="8" t="s">
        <v>193</v>
      </c>
      <c r="C71" s="22" t="s">
        <v>109</v>
      </c>
      <c r="D71" s="22" t="s">
        <v>0</v>
      </c>
      <c r="E71" s="10">
        <v>46142</v>
      </c>
      <c r="F71" s="27">
        <f t="shared" ca="1" si="5"/>
        <v>-45</v>
      </c>
      <c r="G71" s="136">
        <v>19987</v>
      </c>
      <c r="H71" s="8" t="s">
        <v>1</v>
      </c>
      <c r="I71" s="8" t="s">
        <v>3</v>
      </c>
      <c r="J71" s="32" t="s">
        <v>31</v>
      </c>
      <c r="K71" s="33" t="s">
        <v>38</v>
      </c>
      <c r="L71" s="33"/>
      <c r="M71" s="12">
        <f t="shared" si="15"/>
        <v>5793.333333333333</v>
      </c>
    </row>
    <row r="72" spans="1:14" s="34" customFormat="1" x14ac:dyDescent="0.35">
      <c r="A72" s="8" t="s">
        <v>101</v>
      </c>
      <c r="B72" s="36" t="s">
        <v>53</v>
      </c>
      <c r="C72" s="22" t="s">
        <v>45</v>
      </c>
      <c r="D72" s="9" t="s">
        <v>88</v>
      </c>
      <c r="E72" s="10">
        <v>46142</v>
      </c>
      <c r="F72" s="27">
        <f ca="1">+$B$1-E72</f>
        <v>-45</v>
      </c>
      <c r="G72" s="139">
        <v>38957.519999999997</v>
      </c>
      <c r="H72" s="8" t="s">
        <v>2</v>
      </c>
      <c r="I72" s="8" t="s">
        <v>3</v>
      </c>
      <c r="J72" s="32" t="s">
        <v>32</v>
      </c>
      <c r="K72" s="33" t="s">
        <v>38</v>
      </c>
      <c r="L72" s="35"/>
      <c r="M72" s="12">
        <f t="shared" si="15"/>
        <v>38957.519999999997</v>
      </c>
    </row>
    <row r="73" spans="1:14" x14ac:dyDescent="0.35">
      <c r="A73" s="8" t="s">
        <v>102</v>
      </c>
      <c r="B73" s="42" t="s">
        <v>59</v>
      </c>
      <c r="C73" s="9" t="s">
        <v>45</v>
      </c>
      <c r="D73" s="9" t="s">
        <v>88</v>
      </c>
      <c r="E73" s="10">
        <v>46142</v>
      </c>
      <c r="F73" s="27">
        <f ca="1">+$B$1-E73</f>
        <v>-45</v>
      </c>
      <c r="G73" s="139">
        <v>2863.33</v>
      </c>
      <c r="H73" s="8" t="s">
        <v>2</v>
      </c>
      <c r="I73" s="8" t="s">
        <v>3</v>
      </c>
      <c r="J73" s="40" t="s">
        <v>32</v>
      </c>
      <c r="K73" s="19" t="s">
        <v>38</v>
      </c>
      <c r="L73" s="14"/>
      <c r="M73" s="12">
        <f t="shared" si="15"/>
        <v>2863.33</v>
      </c>
    </row>
    <row r="74" spans="1:14" x14ac:dyDescent="0.35">
      <c r="A74" s="211"/>
      <c r="B74" s="211"/>
      <c r="C74" s="208" t="s">
        <v>14</v>
      </c>
      <c r="D74" s="208" t="s">
        <v>88</v>
      </c>
      <c r="E74" s="217">
        <v>46143</v>
      </c>
      <c r="F74" s="209">
        <f t="shared" ref="F74:F77" ca="1" si="16">+$B$1-E74</f>
        <v>-46</v>
      </c>
      <c r="G74" s="210">
        <v>16000</v>
      </c>
      <c r="H74" s="211" t="s">
        <v>1</v>
      </c>
      <c r="I74" s="211" t="s">
        <v>3</v>
      </c>
      <c r="J74" s="219" t="s">
        <v>15</v>
      </c>
      <c r="K74" s="220" t="s">
        <v>38</v>
      </c>
      <c r="L74" s="220"/>
      <c r="M74" s="12">
        <f t="shared" si="15"/>
        <v>4637.68115942029</v>
      </c>
    </row>
    <row r="75" spans="1:14" x14ac:dyDescent="0.35">
      <c r="A75" s="211"/>
      <c r="B75" s="211"/>
      <c r="C75" s="208" t="s">
        <v>14</v>
      </c>
      <c r="D75" s="208" t="s">
        <v>0</v>
      </c>
      <c r="E75" s="217">
        <v>46143</v>
      </c>
      <c r="F75" s="209">
        <f t="shared" ca="1" si="16"/>
        <v>-46</v>
      </c>
      <c r="G75" s="210">
        <v>25000</v>
      </c>
      <c r="H75" s="211" t="s">
        <v>1</v>
      </c>
      <c r="I75" s="211" t="s">
        <v>3</v>
      </c>
      <c r="J75" s="219" t="s">
        <v>15</v>
      </c>
      <c r="K75" s="220" t="s">
        <v>38</v>
      </c>
      <c r="L75" s="220"/>
      <c r="M75" s="12">
        <f t="shared" si="15"/>
        <v>7246.3768115942021</v>
      </c>
    </row>
    <row r="76" spans="1:14" x14ac:dyDescent="0.35">
      <c r="A76" s="211"/>
      <c r="B76" s="211"/>
      <c r="C76" s="208" t="s">
        <v>14</v>
      </c>
      <c r="D76" s="208" t="s">
        <v>60</v>
      </c>
      <c r="E76" s="217">
        <v>46143</v>
      </c>
      <c r="F76" s="209">
        <f t="shared" ca="1" si="16"/>
        <v>-46</v>
      </c>
      <c r="G76" s="210">
        <v>25000</v>
      </c>
      <c r="H76" s="211" t="s">
        <v>1</v>
      </c>
      <c r="I76" s="211" t="s">
        <v>3</v>
      </c>
      <c r="J76" s="219" t="s">
        <v>15</v>
      </c>
      <c r="K76" s="220" t="s">
        <v>38</v>
      </c>
      <c r="L76" s="220"/>
      <c r="M76" s="12">
        <f t="shared" si="15"/>
        <v>7246.3768115942021</v>
      </c>
    </row>
    <row r="77" spans="1:14" x14ac:dyDescent="0.35">
      <c r="A77" s="211"/>
      <c r="B77" s="211"/>
      <c r="C77" s="208" t="s">
        <v>14</v>
      </c>
      <c r="D77" s="208" t="s">
        <v>41</v>
      </c>
      <c r="E77" s="217">
        <v>46143</v>
      </c>
      <c r="F77" s="209">
        <f t="shared" ca="1" si="16"/>
        <v>-46</v>
      </c>
      <c r="G77" s="210">
        <v>25000</v>
      </c>
      <c r="H77" s="211" t="s">
        <v>1</v>
      </c>
      <c r="I77" s="211" t="s">
        <v>3</v>
      </c>
      <c r="J77" s="219" t="s">
        <v>15</v>
      </c>
      <c r="K77" s="220" t="s">
        <v>38</v>
      </c>
      <c r="L77" s="220"/>
      <c r="M77" s="12">
        <f t="shared" si="15"/>
        <v>7246.3768115942021</v>
      </c>
    </row>
    <row r="78" spans="1:14" x14ac:dyDescent="0.35">
      <c r="A78" s="8"/>
      <c r="B78" s="42" t="s">
        <v>284</v>
      </c>
      <c r="C78" s="9" t="s">
        <v>19</v>
      </c>
      <c r="D78" s="9" t="s">
        <v>60</v>
      </c>
      <c r="E78" s="10">
        <v>46146</v>
      </c>
      <c r="F78" s="27">
        <f ca="1">+$B$1-E78</f>
        <v>-49</v>
      </c>
      <c r="G78" s="139">
        <v>1026.5999999999999</v>
      </c>
      <c r="H78" s="8" t="s">
        <v>2</v>
      </c>
      <c r="I78" s="8" t="s">
        <v>232</v>
      </c>
      <c r="J78" s="270" t="s">
        <v>33</v>
      </c>
      <c r="K78" s="19" t="s">
        <v>38</v>
      </c>
      <c r="L78" s="14"/>
      <c r="M78" s="12">
        <f t="shared" si="15"/>
        <v>1026.5999999999999</v>
      </c>
    </row>
    <row r="79" spans="1:14" s="34" customFormat="1" x14ac:dyDescent="0.35">
      <c r="A79" s="238" t="s">
        <v>214</v>
      </c>
      <c r="B79" s="238" t="s">
        <v>215</v>
      </c>
      <c r="C79" s="240" t="s">
        <v>46</v>
      </c>
      <c r="D79" s="240" t="s">
        <v>0</v>
      </c>
      <c r="E79" s="241">
        <v>46150</v>
      </c>
      <c r="F79" s="237">
        <f t="shared" ref="F79" ca="1" si="17">+$B$1-E79</f>
        <v>-53</v>
      </c>
      <c r="G79" s="242">
        <v>51253.29</v>
      </c>
      <c r="H79" s="239" t="s">
        <v>2</v>
      </c>
      <c r="I79" s="239" t="s">
        <v>3</v>
      </c>
      <c r="J79" s="238" t="s">
        <v>195</v>
      </c>
      <c r="K79" s="238" t="s">
        <v>38</v>
      </c>
      <c r="L79" s="238"/>
      <c r="M79" s="12">
        <f t="shared" si="15"/>
        <v>51253.29</v>
      </c>
      <c r="N79" s="34" t="s">
        <v>216</v>
      </c>
    </row>
    <row r="80" spans="1:14" s="34" customFormat="1" x14ac:dyDescent="0.35">
      <c r="A80" s="8"/>
      <c r="B80" s="36" t="s">
        <v>256</v>
      </c>
      <c r="C80" s="22" t="s">
        <v>17</v>
      </c>
      <c r="D80" s="9" t="s">
        <v>60</v>
      </c>
      <c r="E80" s="10">
        <v>46150</v>
      </c>
      <c r="F80" s="27">
        <f ca="1">+$B$1-E80</f>
        <v>-53</v>
      </c>
      <c r="G80" s="139">
        <v>1644.4</v>
      </c>
      <c r="H80" s="8" t="s">
        <v>2</v>
      </c>
      <c r="I80" s="8" t="s">
        <v>37</v>
      </c>
      <c r="J80" s="32" t="s">
        <v>29</v>
      </c>
      <c r="K80" s="33" t="s">
        <v>38</v>
      </c>
      <c r="L80" s="35"/>
      <c r="M80" s="12">
        <f t="shared" si="15"/>
        <v>1644.4</v>
      </c>
    </row>
    <row r="81" spans="1:13" s="34" customFormat="1" x14ac:dyDescent="0.35">
      <c r="A81" s="263"/>
      <c r="B81" s="263"/>
      <c r="C81" s="264" t="s">
        <v>213</v>
      </c>
      <c r="D81" s="264" t="s">
        <v>60</v>
      </c>
      <c r="E81" s="265">
        <v>46150</v>
      </c>
      <c r="F81" s="266">
        <f t="shared" ref="F81:F82" ca="1" si="18">+$B$1-E81</f>
        <v>-53</v>
      </c>
      <c r="G81" s="153">
        <v>20000</v>
      </c>
      <c r="H81" s="263" t="s">
        <v>1</v>
      </c>
      <c r="I81" s="263" t="s">
        <v>3</v>
      </c>
      <c r="J81" s="267" t="s">
        <v>47</v>
      </c>
      <c r="K81" s="268" t="s">
        <v>38</v>
      </c>
      <c r="L81" s="268"/>
      <c r="M81" s="12">
        <f t="shared" si="15"/>
        <v>5797.101449275362</v>
      </c>
    </row>
    <row r="82" spans="1:13" s="34" customFormat="1" x14ac:dyDescent="0.35">
      <c r="A82" s="263"/>
      <c r="B82" s="263"/>
      <c r="C82" s="264" t="s">
        <v>213</v>
      </c>
      <c r="D82" s="264" t="s">
        <v>0</v>
      </c>
      <c r="E82" s="265">
        <v>46150</v>
      </c>
      <c r="F82" s="266">
        <f t="shared" ca="1" si="18"/>
        <v>-53</v>
      </c>
      <c r="G82" s="153">
        <v>20000</v>
      </c>
      <c r="H82" s="263" t="s">
        <v>1</v>
      </c>
      <c r="I82" s="263" t="s">
        <v>3</v>
      </c>
      <c r="J82" s="267" t="s">
        <v>47</v>
      </c>
      <c r="K82" s="268" t="s">
        <v>38</v>
      </c>
      <c r="L82" s="268"/>
      <c r="M82" s="12">
        <f t="shared" si="15"/>
        <v>5797.101449275362</v>
      </c>
    </row>
    <row r="83" spans="1:13" s="34" customFormat="1" ht="15" customHeight="1" x14ac:dyDescent="0.35">
      <c r="A83" s="8" t="s">
        <v>183</v>
      </c>
      <c r="B83" s="125" t="s">
        <v>185</v>
      </c>
      <c r="C83" s="199" t="s">
        <v>182</v>
      </c>
      <c r="D83" s="199" t="s">
        <v>41</v>
      </c>
      <c r="E83" s="205">
        <v>46155</v>
      </c>
      <c r="F83" s="206">
        <f t="shared" ca="1" si="5"/>
        <v>-58</v>
      </c>
      <c r="G83" s="207">
        <v>30099.17</v>
      </c>
      <c r="H83" s="125" t="s">
        <v>1</v>
      </c>
      <c r="I83" s="126" t="s">
        <v>4</v>
      </c>
      <c r="J83" s="32" t="s">
        <v>27</v>
      </c>
      <c r="K83" s="33" t="s">
        <v>38</v>
      </c>
      <c r="L83" s="33"/>
      <c r="M83" s="12">
        <f t="shared" si="15"/>
        <v>8724.3971014492745</v>
      </c>
    </row>
    <row r="84" spans="1:13" s="34" customFormat="1" ht="15" customHeight="1" x14ac:dyDescent="0.35">
      <c r="A84" s="8" t="s">
        <v>274</v>
      </c>
      <c r="B84" s="8" t="s">
        <v>230</v>
      </c>
      <c r="C84" s="22" t="s">
        <v>103</v>
      </c>
      <c r="D84" s="22" t="s">
        <v>88</v>
      </c>
      <c r="E84" s="10">
        <v>46156</v>
      </c>
      <c r="F84" s="24">
        <f t="shared" ref="F84:F95" ca="1" si="19">+$B$1-E84</f>
        <v>-59</v>
      </c>
      <c r="G84" s="136">
        <v>27239.17</v>
      </c>
      <c r="H84" s="8" t="s">
        <v>2</v>
      </c>
      <c r="I84" s="8" t="s">
        <v>4</v>
      </c>
      <c r="J84" s="32" t="s">
        <v>32</v>
      </c>
      <c r="K84" s="33" t="s">
        <v>38</v>
      </c>
      <c r="L84" s="33"/>
      <c r="M84" s="12">
        <f t="shared" si="15"/>
        <v>27239.17</v>
      </c>
    </row>
    <row r="85" spans="1:13" s="34" customFormat="1" ht="15" customHeight="1" x14ac:dyDescent="0.35">
      <c r="A85" s="260"/>
      <c r="B85" s="260" t="s">
        <v>267</v>
      </c>
      <c r="C85" s="257" t="s">
        <v>266</v>
      </c>
      <c r="D85" s="257" t="s">
        <v>0</v>
      </c>
      <c r="E85" s="258">
        <v>46157</v>
      </c>
      <c r="F85" s="259">
        <f t="shared" ca="1" si="19"/>
        <v>-60</v>
      </c>
      <c r="G85" s="186">
        <v>8000</v>
      </c>
      <c r="H85" s="260" t="s">
        <v>1</v>
      </c>
      <c r="I85" s="260" t="s">
        <v>3</v>
      </c>
      <c r="J85" s="261" t="s">
        <v>265</v>
      </c>
      <c r="K85" s="262" t="s">
        <v>38</v>
      </c>
      <c r="L85" s="33"/>
      <c r="M85" s="12">
        <f t="shared" si="15"/>
        <v>2318.840579710145</v>
      </c>
    </row>
    <row r="86" spans="1:13" s="34" customFormat="1" ht="15" customHeight="1" x14ac:dyDescent="0.35">
      <c r="A86" s="260"/>
      <c r="B86" s="260" t="s">
        <v>267</v>
      </c>
      <c r="C86" s="257" t="s">
        <v>266</v>
      </c>
      <c r="D86" s="257" t="s">
        <v>88</v>
      </c>
      <c r="E86" s="258">
        <v>46157</v>
      </c>
      <c r="F86" s="259">
        <f t="shared" ref="F86" ca="1" si="20">+$B$1-E86</f>
        <v>-60</v>
      </c>
      <c r="G86" s="186">
        <v>6000</v>
      </c>
      <c r="H86" s="260" t="s">
        <v>1</v>
      </c>
      <c r="I86" s="260" t="s">
        <v>3</v>
      </c>
      <c r="J86" s="261" t="s">
        <v>265</v>
      </c>
      <c r="K86" s="262" t="s">
        <v>38</v>
      </c>
      <c r="L86" s="33"/>
      <c r="M86" s="12">
        <f t="shared" si="15"/>
        <v>1739.1304347826085</v>
      </c>
    </row>
    <row r="87" spans="1:13" s="34" customFormat="1" ht="15" customHeight="1" x14ac:dyDescent="0.35">
      <c r="A87" s="260"/>
      <c r="B87" s="260" t="s">
        <v>267</v>
      </c>
      <c r="C87" s="257" t="s">
        <v>266</v>
      </c>
      <c r="D87" s="257" t="s">
        <v>114</v>
      </c>
      <c r="E87" s="258">
        <v>46157</v>
      </c>
      <c r="F87" s="259">
        <f t="shared" ref="F87" ca="1" si="21">+$B$1-E87</f>
        <v>-60</v>
      </c>
      <c r="G87" s="186">
        <v>7000</v>
      </c>
      <c r="H87" s="260" t="s">
        <v>1</v>
      </c>
      <c r="I87" s="260" t="s">
        <v>3</v>
      </c>
      <c r="J87" s="261" t="s">
        <v>265</v>
      </c>
      <c r="K87" s="262" t="s">
        <v>38</v>
      </c>
      <c r="L87" s="33"/>
      <c r="M87" s="12">
        <f t="shared" si="15"/>
        <v>2028.9855072463768</v>
      </c>
    </row>
    <row r="88" spans="1:13" s="34" customFormat="1" ht="15" customHeight="1" x14ac:dyDescent="0.35">
      <c r="A88" s="211"/>
      <c r="B88" s="211"/>
      <c r="C88" s="208" t="s">
        <v>14</v>
      </c>
      <c r="D88" s="208" t="s">
        <v>88</v>
      </c>
      <c r="E88" s="217">
        <v>46157</v>
      </c>
      <c r="F88" s="218">
        <f t="shared" ca="1" si="19"/>
        <v>-60</v>
      </c>
      <c r="G88" s="210">
        <v>13000</v>
      </c>
      <c r="H88" s="211" t="s">
        <v>1</v>
      </c>
      <c r="I88" s="211" t="s">
        <v>3</v>
      </c>
      <c r="J88" s="219" t="s">
        <v>15</v>
      </c>
      <c r="K88" s="220" t="s">
        <v>38</v>
      </c>
      <c r="L88" s="220"/>
      <c r="M88" s="12">
        <f t="shared" si="15"/>
        <v>3768.1159420289855</v>
      </c>
    </row>
    <row r="89" spans="1:13" s="34" customFormat="1" ht="15" customHeight="1" x14ac:dyDescent="0.35">
      <c r="A89" s="211"/>
      <c r="B89" s="211"/>
      <c r="C89" s="208" t="s">
        <v>14</v>
      </c>
      <c r="D89" s="208" t="s">
        <v>0</v>
      </c>
      <c r="E89" s="217">
        <v>46157</v>
      </c>
      <c r="F89" s="218">
        <f t="shared" ca="1" si="19"/>
        <v>-60</v>
      </c>
      <c r="G89" s="210">
        <v>21000</v>
      </c>
      <c r="H89" s="211" t="s">
        <v>1</v>
      </c>
      <c r="I89" s="211" t="s">
        <v>3</v>
      </c>
      <c r="J89" s="219" t="s">
        <v>15</v>
      </c>
      <c r="K89" s="220" t="s">
        <v>38</v>
      </c>
      <c r="L89" s="220"/>
      <c r="M89" s="12">
        <f t="shared" si="15"/>
        <v>6086.95652173913</v>
      </c>
    </row>
    <row r="90" spans="1:13" s="34" customFormat="1" ht="15" customHeight="1" x14ac:dyDescent="0.35">
      <c r="A90" s="211"/>
      <c r="B90" s="211"/>
      <c r="C90" s="208" t="s">
        <v>14</v>
      </c>
      <c r="D90" s="208" t="s">
        <v>60</v>
      </c>
      <c r="E90" s="217">
        <v>46157</v>
      </c>
      <c r="F90" s="218">
        <f t="shared" ca="1" si="19"/>
        <v>-60</v>
      </c>
      <c r="G90" s="210">
        <v>21000</v>
      </c>
      <c r="H90" s="211" t="s">
        <v>1</v>
      </c>
      <c r="I90" s="211" t="s">
        <v>3</v>
      </c>
      <c r="J90" s="219" t="s">
        <v>15</v>
      </c>
      <c r="K90" s="220" t="s">
        <v>38</v>
      </c>
      <c r="L90" s="220"/>
      <c r="M90" s="12">
        <f t="shared" si="15"/>
        <v>6086.95652173913</v>
      </c>
    </row>
    <row r="91" spans="1:13" s="34" customFormat="1" ht="15" customHeight="1" x14ac:dyDescent="0.35">
      <c r="A91" s="211"/>
      <c r="B91" s="211"/>
      <c r="C91" s="208" t="s">
        <v>14</v>
      </c>
      <c r="D91" s="208" t="s">
        <v>41</v>
      </c>
      <c r="E91" s="217">
        <v>46157</v>
      </c>
      <c r="F91" s="218">
        <f t="shared" ca="1" si="19"/>
        <v>-60</v>
      </c>
      <c r="G91" s="210">
        <v>8000</v>
      </c>
      <c r="H91" s="211" t="s">
        <v>1</v>
      </c>
      <c r="I91" s="211" t="s">
        <v>3</v>
      </c>
      <c r="J91" s="219" t="s">
        <v>15</v>
      </c>
      <c r="K91" s="220" t="s">
        <v>38</v>
      </c>
      <c r="L91" s="220"/>
      <c r="M91" s="12">
        <f t="shared" si="15"/>
        <v>2318.840579710145</v>
      </c>
    </row>
    <row r="92" spans="1:13" s="34" customFormat="1" ht="15" customHeight="1" x14ac:dyDescent="0.35">
      <c r="A92" s="8"/>
      <c r="B92" s="8" t="s">
        <v>257</v>
      </c>
      <c r="C92" s="22" t="s">
        <v>20</v>
      </c>
      <c r="D92" s="22" t="s">
        <v>60</v>
      </c>
      <c r="E92" s="10">
        <v>46160</v>
      </c>
      <c r="F92" s="24">
        <f t="shared" ca="1" si="19"/>
        <v>-63</v>
      </c>
      <c r="G92" s="136">
        <v>9097.8700000000008</v>
      </c>
      <c r="H92" s="8" t="s">
        <v>2</v>
      </c>
      <c r="I92" s="8" t="s">
        <v>37</v>
      </c>
      <c r="J92" s="32" t="s">
        <v>30</v>
      </c>
      <c r="K92" s="33" t="s">
        <v>38</v>
      </c>
      <c r="L92" s="33"/>
      <c r="M92" s="12">
        <f t="shared" si="15"/>
        <v>9097.8700000000008</v>
      </c>
    </row>
    <row r="93" spans="1:13" s="34" customFormat="1" ht="15" customHeight="1" x14ac:dyDescent="0.35">
      <c r="A93" s="8"/>
      <c r="B93" s="8" t="s">
        <v>259</v>
      </c>
      <c r="C93" s="22" t="s">
        <v>42</v>
      </c>
      <c r="D93" s="22" t="s">
        <v>60</v>
      </c>
      <c r="E93" s="10">
        <v>46161</v>
      </c>
      <c r="F93" s="24">
        <f t="shared" ca="1" si="19"/>
        <v>-64</v>
      </c>
      <c r="G93" s="136">
        <v>826</v>
      </c>
      <c r="H93" s="8" t="s">
        <v>2</v>
      </c>
      <c r="I93" s="8" t="s">
        <v>37</v>
      </c>
      <c r="J93" s="32" t="s">
        <v>28</v>
      </c>
      <c r="K93" s="33" t="s">
        <v>38</v>
      </c>
      <c r="L93" s="33"/>
      <c r="M93" s="12">
        <f t="shared" si="15"/>
        <v>826</v>
      </c>
    </row>
    <row r="94" spans="1:13" s="34" customFormat="1" ht="15" customHeight="1" x14ac:dyDescent="0.35">
      <c r="A94" s="8"/>
      <c r="B94" s="8" t="s">
        <v>270</v>
      </c>
      <c r="C94" s="22" t="s">
        <v>271</v>
      </c>
      <c r="D94" s="22" t="s">
        <v>0</v>
      </c>
      <c r="E94" s="10">
        <v>46163</v>
      </c>
      <c r="F94" s="24">
        <f t="shared" ca="1" si="19"/>
        <v>-66</v>
      </c>
      <c r="G94" s="136">
        <v>1742.62</v>
      </c>
      <c r="H94" s="8" t="s">
        <v>2</v>
      </c>
      <c r="I94" s="8" t="s">
        <v>99</v>
      </c>
      <c r="J94" s="32" t="s">
        <v>272</v>
      </c>
      <c r="K94" s="33" t="s">
        <v>38</v>
      </c>
      <c r="L94" s="33"/>
      <c r="M94" s="12">
        <f t="shared" si="15"/>
        <v>1742.62</v>
      </c>
    </row>
    <row r="95" spans="1:13" s="34" customFormat="1" ht="15" customHeight="1" x14ac:dyDescent="0.35">
      <c r="A95" s="8"/>
      <c r="B95" s="8" t="s">
        <v>276</v>
      </c>
      <c r="C95" s="22" t="s">
        <v>20</v>
      </c>
      <c r="D95" s="22" t="s">
        <v>0</v>
      </c>
      <c r="E95" s="10">
        <v>46167</v>
      </c>
      <c r="F95" s="24">
        <f t="shared" ca="1" si="19"/>
        <v>-70</v>
      </c>
      <c r="G95" s="136">
        <v>9898.43</v>
      </c>
      <c r="H95" s="8" t="s">
        <v>2</v>
      </c>
      <c r="I95" s="8" t="s">
        <v>99</v>
      </c>
      <c r="J95" s="32" t="s">
        <v>30</v>
      </c>
      <c r="K95" s="33" t="s">
        <v>38</v>
      </c>
      <c r="L95" s="33"/>
      <c r="M95" s="12">
        <f t="shared" si="15"/>
        <v>9898.43</v>
      </c>
    </row>
    <row r="96" spans="1:13" s="34" customFormat="1" ht="15" customHeight="1" x14ac:dyDescent="0.35">
      <c r="A96" s="193"/>
      <c r="B96" s="193" t="s">
        <v>218</v>
      </c>
      <c r="C96" s="243" t="s">
        <v>144</v>
      </c>
      <c r="D96" s="243" t="s">
        <v>88</v>
      </c>
      <c r="E96" s="244">
        <v>46167</v>
      </c>
      <c r="F96" s="245">
        <f t="shared" ca="1" si="5"/>
        <v>-70</v>
      </c>
      <c r="G96" s="235">
        <v>11778.38</v>
      </c>
      <c r="H96" s="193" t="s">
        <v>1</v>
      </c>
      <c r="I96" s="193" t="s">
        <v>4</v>
      </c>
      <c r="J96" s="246" t="s">
        <v>27</v>
      </c>
      <c r="K96" s="247" t="s">
        <v>38</v>
      </c>
      <c r="L96" s="248"/>
      <c r="M96" s="12">
        <f t="shared" si="15"/>
        <v>3414.0231884057966</v>
      </c>
    </row>
    <row r="97" spans="1:13" x14ac:dyDescent="0.35">
      <c r="A97" s="113" t="s">
        <v>162</v>
      </c>
      <c r="B97" s="113" t="s">
        <v>165</v>
      </c>
      <c r="C97" s="127" t="s">
        <v>18</v>
      </c>
      <c r="D97" s="127" t="s">
        <v>0</v>
      </c>
      <c r="E97" s="133">
        <v>46170</v>
      </c>
      <c r="F97" s="203">
        <f t="shared" ca="1" si="5"/>
        <v>-73</v>
      </c>
      <c r="G97" s="202">
        <v>23029.74</v>
      </c>
      <c r="H97" s="113" t="s">
        <v>1</v>
      </c>
      <c r="I97" s="113" t="s">
        <v>3</v>
      </c>
      <c r="J97" s="204" t="s">
        <v>27</v>
      </c>
      <c r="K97" s="200" t="s">
        <v>38</v>
      </c>
      <c r="L97" s="201"/>
      <c r="M97" s="12">
        <f t="shared" si="15"/>
        <v>6675.2869565217388</v>
      </c>
    </row>
    <row r="98" spans="1:13" s="34" customFormat="1" x14ac:dyDescent="0.35">
      <c r="A98" s="8" t="s">
        <v>142</v>
      </c>
      <c r="B98" s="8" t="s">
        <v>118</v>
      </c>
      <c r="C98" s="22" t="s">
        <v>140</v>
      </c>
      <c r="D98" s="22" t="s">
        <v>0</v>
      </c>
      <c r="E98" s="10">
        <v>46169</v>
      </c>
      <c r="F98" s="27">
        <f t="shared" ref="F98:F99" ca="1" si="22">+$B$1-E98</f>
        <v>-72</v>
      </c>
      <c r="G98" s="136">
        <v>371.85</v>
      </c>
      <c r="H98" s="8" t="s">
        <v>1</v>
      </c>
      <c r="I98" s="8" t="s">
        <v>3</v>
      </c>
      <c r="J98" s="32" t="s">
        <v>31</v>
      </c>
      <c r="K98" s="33" t="s">
        <v>38</v>
      </c>
      <c r="L98" s="33"/>
      <c r="M98" s="12">
        <f t="shared" si="15"/>
        <v>107.78260869565217</v>
      </c>
    </row>
    <row r="99" spans="1:13" s="34" customFormat="1" x14ac:dyDescent="0.35">
      <c r="A99" s="8" t="s">
        <v>151</v>
      </c>
      <c r="B99" s="8" t="s">
        <v>118</v>
      </c>
      <c r="C99" s="22" t="s">
        <v>140</v>
      </c>
      <c r="D99" s="22" t="s">
        <v>60</v>
      </c>
      <c r="E99" s="10">
        <v>46171</v>
      </c>
      <c r="F99" s="27">
        <f t="shared" ca="1" si="22"/>
        <v>-74</v>
      </c>
      <c r="G99" s="136">
        <v>300</v>
      </c>
      <c r="H99" s="8" t="s">
        <v>1</v>
      </c>
      <c r="I99" s="8" t="s">
        <v>3</v>
      </c>
      <c r="J99" s="32" t="s">
        <v>31</v>
      </c>
      <c r="K99" s="33" t="s">
        <v>38</v>
      </c>
      <c r="L99" s="33"/>
      <c r="M99" s="12">
        <f t="shared" si="15"/>
        <v>86.956521739130437</v>
      </c>
    </row>
    <row r="100" spans="1:13" s="34" customFormat="1" x14ac:dyDescent="0.35">
      <c r="A100" s="125" t="s">
        <v>159</v>
      </c>
      <c r="B100" s="125" t="s">
        <v>48</v>
      </c>
      <c r="C100" s="187" t="s">
        <v>158</v>
      </c>
      <c r="D100" s="199" t="s">
        <v>88</v>
      </c>
      <c r="E100" s="188">
        <v>46172</v>
      </c>
      <c r="F100" s="131">
        <f t="shared" ca="1" si="5"/>
        <v>-75</v>
      </c>
      <c r="G100" s="189">
        <v>9768.16</v>
      </c>
      <c r="H100" s="125" t="s">
        <v>1</v>
      </c>
      <c r="I100" s="126" t="s">
        <v>3</v>
      </c>
      <c r="J100" s="190" t="s">
        <v>27</v>
      </c>
      <c r="K100" s="191" t="s">
        <v>38</v>
      </c>
      <c r="L100" s="191"/>
      <c r="M100" s="12">
        <f t="shared" si="15"/>
        <v>2831.3507246376812</v>
      </c>
    </row>
    <row r="101" spans="1:13" x14ac:dyDescent="0.35">
      <c r="A101" s="211"/>
      <c r="B101" s="211"/>
      <c r="C101" s="208" t="s">
        <v>14</v>
      </c>
      <c r="D101" s="208" t="s">
        <v>88</v>
      </c>
      <c r="E101" s="217">
        <v>46174</v>
      </c>
      <c r="F101" s="269">
        <f t="shared" ca="1" si="5"/>
        <v>-77</v>
      </c>
      <c r="G101" s="210">
        <v>16000</v>
      </c>
      <c r="H101" s="211" t="s">
        <v>1</v>
      </c>
      <c r="I101" s="211" t="s">
        <v>3</v>
      </c>
      <c r="J101" s="219" t="s">
        <v>15</v>
      </c>
      <c r="K101" s="220" t="s">
        <v>38</v>
      </c>
      <c r="L101" s="220"/>
      <c r="M101" s="12">
        <f t="shared" si="15"/>
        <v>4637.68115942029</v>
      </c>
    </row>
    <row r="102" spans="1:13" x14ac:dyDescent="0.35">
      <c r="A102" s="211"/>
      <c r="B102" s="211"/>
      <c r="C102" s="208" t="s">
        <v>14</v>
      </c>
      <c r="D102" s="208" t="s">
        <v>0</v>
      </c>
      <c r="E102" s="217">
        <v>46174</v>
      </c>
      <c r="F102" s="269">
        <f t="shared" ca="1" si="5"/>
        <v>-77</v>
      </c>
      <c r="G102" s="210">
        <v>25000</v>
      </c>
      <c r="H102" s="211" t="s">
        <v>1</v>
      </c>
      <c r="I102" s="211" t="s">
        <v>3</v>
      </c>
      <c r="J102" s="219" t="s">
        <v>15</v>
      </c>
      <c r="K102" s="220" t="s">
        <v>38</v>
      </c>
      <c r="L102" s="220"/>
      <c r="M102" s="12">
        <f t="shared" si="15"/>
        <v>7246.3768115942021</v>
      </c>
    </row>
    <row r="103" spans="1:13" x14ac:dyDescent="0.35">
      <c r="A103" s="211"/>
      <c r="B103" s="211"/>
      <c r="C103" s="208" t="s">
        <v>14</v>
      </c>
      <c r="D103" s="208" t="s">
        <v>60</v>
      </c>
      <c r="E103" s="217">
        <v>46174</v>
      </c>
      <c r="F103" s="269">
        <f t="shared" ca="1" si="5"/>
        <v>-77</v>
      </c>
      <c r="G103" s="210">
        <v>25000</v>
      </c>
      <c r="H103" s="211" t="s">
        <v>1</v>
      </c>
      <c r="I103" s="211" t="s">
        <v>3</v>
      </c>
      <c r="J103" s="219" t="s">
        <v>15</v>
      </c>
      <c r="K103" s="220" t="s">
        <v>38</v>
      </c>
      <c r="L103" s="220"/>
      <c r="M103" s="12">
        <f t="shared" si="15"/>
        <v>7246.3768115942021</v>
      </c>
    </row>
    <row r="104" spans="1:13" x14ac:dyDescent="0.35">
      <c r="A104" s="211"/>
      <c r="B104" s="211"/>
      <c r="C104" s="208" t="s">
        <v>14</v>
      </c>
      <c r="D104" s="208" t="s">
        <v>41</v>
      </c>
      <c r="E104" s="217">
        <v>46174</v>
      </c>
      <c r="F104" s="269">
        <f t="shared" ca="1" si="5"/>
        <v>-77</v>
      </c>
      <c r="G104" s="210">
        <v>25000</v>
      </c>
      <c r="H104" s="211" t="s">
        <v>1</v>
      </c>
      <c r="I104" s="211" t="s">
        <v>3</v>
      </c>
      <c r="J104" s="219" t="s">
        <v>15</v>
      </c>
      <c r="K104" s="220" t="s">
        <v>38</v>
      </c>
      <c r="L104" s="220"/>
      <c r="M104" s="12">
        <f t="shared" si="15"/>
        <v>7246.3768115942021</v>
      </c>
    </row>
    <row r="105" spans="1:13" s="34" customFormat="1" x14ac:dyDescent="0.35">
      <c r="A105" s="8"/>
      <c r="B105" s="8" t="s">
        <v>282</v>
      </c>
      <c r="C105" s="22" t="s">
        <v>17</v>
      </c>
      <c r="D105" s="22" t="s">
        <v>60</v>
      </c>
      <c r="E105" s="10">
        <v>46175</v>
      </c>
      <c r="F105" s="27">
        <f t="shared" ref="F105" ca="1" si="23">+$B$1-E105</f>
        <v>-78</v>
      </c>
      <c r="G105" s="136">
        <v>1136.3399999999999</v>
      </c>
      <c r="H105" s="8" t="s">
        <v>2</v>
      </c>
      <c r="I105" s="8" t="s">
        <v>232</v>
      </c>
      <c r="J105" s="32" t="s">
        <v>31</v>
      </c>
      <c r="K105" s="33" t="s">
        <v>38</v>
      </c>
      <c r="L105" s="33"/>
      <c r="M105" s="12">
        <f t="shared" si="15"/>
        <v>1136.3399999999999</v>
      </c>
    </row>
    <row r="106" spans="1:13" s="34" customFormat="1" ht="15" customHeight="1" x14ac:dyDescent="0.35">
      <c r="A106" s="8"/>
      <c r="B106" s="8" t="s">
        <v>280</v>
      </c>
      <c r="C106" s="22" t="s">
        <v>103</v>
      </c>
      <c r="D106" s="22" t="s">
        <v>0</v>
      </c>
      <c r="E106" s="10">
        <v>46176</v>
      </c>
      <c r="F106" s="24">
        <f t="shared" ref="F106:F109" ca="1" si="24">+$B$1-E106</f>
        <v>-79</v>
      </c>
      <c r="G106" s="136">
        <v>32709.599999999999</v>
      </c>
      <c r="H106" s="8" t="s">
        <v>2</v>
      </c>
      <c r="I106" s="8" t="s">
        <v>37</v>
      </c>
      <c r="J106" s="32" t="s">
        <v>23</v>
      </c>
      <c r="K106" s="33" t="s">
        <v>38</v>
      </c>
      <c r="L106" s="33"/>
      <c r="M106" s="12">
        <f t="shared" si="15"/>
        <v>32709.599999999999</v>
      </c>
    </row>
    <row r="107" spans="1:13" s="34" customFormat="1" x14ac:dyDescent="0.35">
      <c r="A107" s="8"/>
      <c r="B107" s="8" t="s">
        <v>283</v>
      </c>
      <c r="C107" s="22" t="s">
        <v>103</v>
      </c>
      <c r="D107" s="22" t="s">
        <v>60</v>
      </c>
      <c r="E107" s="10">
        <v>46178</v>
      </c>
      <c r="F107" s="27">
        <f t="shared" ca="1" si="24"/>
        <v>-81</v>
      </c>
      <c r="G107" s="136">
        <v>50551.199999999997</v>
      </c>
      <c r="H107" s="8" t="s">
        <v>2</v>
      </c>
      <c r="I107" s="8" t="s">
        <v>37</v>
      </c>
      <c r="J107" s="32" t="s">
        <v>51</v>
      </c>
      <c r="K107" s="33" t="s">
        <v>38</v>
      </c>
      <c r="L107" s="33"/>
      <c r="M107" s="12">
        <f t="shared" si="15"/>
        <v>50551.199999999997</v>
      </c>
    </row>
    <row r="108" spans="1:13" s="34" customFormat="1" x14ac:dyDescent="0.35">
      <c r="A108" s="263"/>
      <c r="B108" s="263"/>
      <c r="C108" s="264" t="s">
        <v>213</v>
      </c>
      <c r="D108" s="264" t="s">
        <v>60</v>
      </c>
      <c r="E108" s="265">
        <v>46181</v>
      </c>
      <c r="F108" s="266">
        <f t="shared" ca="1" si="24"/>
        <v>-84</v>
      </c>
      <c r="G108" s="153">
        <v>20000</v>
      </c>
      <c r="H108" s="263" t="s">
        <v>1</v>
      </c>
      <c r="I108" s="263" t="s">
        <v>3</v>
      </c>
      <c r="J108" s="267" t="s">
        <v>47</v>
      </c>
      <c r="K108" s="268" t="s">
        <v>38</v>
      </c>
      <c r="L108" s="268"/>
      <c r="M108" s="12">
        <f t="shared" si="15"/>
        <v>5797.101449275362</v>
      </c>
    </row>
    <row r="109" spans="1:13" s="34" customFormat="1" x14ac:dyDescent="0.35">
      <c r="A109" s="263"/>
      <c r="B109" s="263"/>
      <c r="C109" s="264" t="s">
        <v>213</v>
      </c>
      <c r="D109" s="264" t="s">
        <v>0</v>
      </c>
      <c r="E109" s="265">
        <v>46181</v>
      </c>
      <c r="F109" s="266">
        <f t="shared" ca="1" si="24"/>
        <v>-84</v>
      </c>
      <c r="G109" s="153">
        <v>20000</v>
      </c>
      <c r="H109" s="263" t="s">
        <v>1</v>
      </c>
      <c r="I109" s="263" t="s">
        <v>3</v>
      </c>
      <c r="J109" s="267" t="s">
        <v>47</v>
      </c>
      <c r="K109" s="268" t="s">
        <v>38</v>
      </c>
      <c r="L109" s="268"/>
      <c r="M109" s="12">
        <f t="shared" si="15"/>
        <v>5797.101449275362</v>
      </c>
    </row>
    <row r="110" spans="1:13" s="34" customFormat="1" ht="15" customHeight="1" x14ac:dyDescent="0.35">
      <c r="A110" s="29" t="s">
        <v>183</v>
      </c>
      <c r="B110" s="29" t="s">
        <v>186</v>
      </c>
      <c r="C110" s="117" t="s">
        <v>182</v>
      </c>
      <c r="D110" s="117" t="s">
        <v>41</v>
      </c>
      <c r="E110" s="31">
        <v>46186</v>
      </c>
      <c r="F110" s="41">
        <f t="shared" ca="1" si="5"/>
        <v>-89</v>
      </c>
      <c r="G110" s="141">
        <v>30099.17</v>
      </c>
      <c r="H110" s="29" t="s">
        <v>1</v>
      </c>
      <c r="I110" s="118" t="s">
        <v>4</v>
      </c>
      <c r="J110" s="212" t="s">
        <v>27</v>
      </c>
      <c r="K110" s="213" t="s">
        <v>38</v>
      </c>
      <c r="L110" s="33"/>
      <c r="M110" s="12">
        <f t="shared" si="15"/>
        <v>8724.3971014492745</v>
      </c>
    </row>
    <row r="111" spans="1:13" s="34" customFormat="1" ht="15" customHeight="1" x14ac:dyDescent="0.35">
      <c r="A111" s="211"/>
      <c r="B111" s="211"/>
      <c r="C111" s="208" t="s">
        <v>14</v>
      </c>
      <c r="D111" s="208" t="s">
        <v>88</v>
      </c>
      <c r="E111" s="217">
        <v>46188</v>
      </c>
      <c r="F111" s="218">
        <f t="shared" ca="1" si="5"/>
        <v>-91</v>
      </c>
      <c r="G111" s="210">
        <v>13000</v>
      </c>
      <c r="H111" s="211" t="s">
        <v>1</v>
      </c>
      <c r="I111" s="211" t="s">
        <v>3</v>
      </c>
      <c r="J111" s="219" t="s">
        <v>15</v>
      </c>
      <c r="K111" s="220" t="s">
        <v>38</v>
      </c>
      <c r="L111" s="220"/>
      <c r="M111" s="12">
        <f t="shared" si="15"/>
        <v>3768.1159420289855</v>
      </c>
    </row>
    <row r="112" spans="1:13" s="34" customFormat="1" ht="15" customHeight="1" x14ac:dyDescent="0.35">
      <c r="A112" s="211"/>
      <c r="B112" s="211"/>
      <c r="C112" s="208" t="s">
        <v>14</v>
      </c>
      <c r="D112" s="208" t="s">
        <v>0</v>
      </c>
      <c r="E112" s="217">
        <v>46188</v>
      </c>
      <c r="F112" s="218">
        <f t="shared" ca="1" si="5"/>
        <v>-91</v>
      </c>
      <c r="G112" s="210">
        <v>21000</v>
      </c>
      <c r="H112" s="211" t="s">
        <v>1</v>
      </c>
      <c r="I112" s="211" t="s">
        <v>3</v>
      </c>
      <c r="J112" s="219" t="s">
        <v>15</v>
      </c>
      <c r="K112" s="220" t="s">
        <v>38</v>
      </c>
      <c r="L112" s="220"/>
      <c r="M112" s="12">
        <f t="shared" si="15"/>
        <v>6086.95652173913</v>
      </c>
    </row>
    <row r="113" spans="1:13" s="34" customFormat="1" ht="15" customHeight="1" x14ac:dyDescent="0.35">
      <c r="A113" s="211"/>
      <c r="B113" s="211"/>
      <c r="C113" s="208" t="s">
        <v>14</v>
      </c>
      <c r="D113" s="208" t="s">
        <v>60</v>
      </c>
      <c r="E113" s="217">
        <v>46188</v>
      </c>
      <c r="F113" s="218">
        <f t="shared" ca="1" si="5"/>
        <v>-91</v>
      </c>
      <c r="G113" s="210">
        <v>21000</v>
      </c>
      <c r="H113" s="211" t="s">
        <v>1</v>
      </c>
      <c r="I113" s="211" t="s">
        <v>3</v>
      </c>
      <c r="J113" s="219" t="s">
        <v>15</v>
      </c>
      <c r="K113" s="220" t="s">
        <v>38</v>
      </c>
      <c r="L113" s="220"/>
      <c r="M113" s="12">
        <f t="shared" si="15"/>
        <v>6086.95652173913</v>
      </c>
    </row>
    <row r="114" spans="1:13" s="34" customFormat="1" ht="15" customHeight="1" x14ac:dyDescent="0.35">
      <c r="A114" s="211"/>
      <c r="B114" s="211"/>
      <c r="C114" s="208" t="s">
        <v>14</v>
      </c>
      <c r="D114" s="208" t="s">
        <v>41</v>
      </c>
      <c r="E114" s="217">
        <v>46188</v>
      </c>
      <c r="F114" s="218">
        <f t="shared" ca="1" si="5"/>
        <v>-91</v>
      </c>
      <c r="G114" s="210">
        <v>8000</v>
      </c>
      <c r="H114" s="211" t="s">
        <v>1</v>
      </c>
      <c r="I114" s="211" t="s">
        <v>3</v>
      </c>
      <c r="J114" s="219" t="s">
        <v>15</v>
      </c>
      <c r="K114" s="220" t="s">
        <v>38</v>
      </c>
      <c r="L114" s="220"/>
      <c r="M114" s="12">
        <f t="shared" si="15"/>
        <v>2318.840579710145</v>
      </c>
    </row>
    <row r="115" spans="1:13" s="34" customFormat="1" ht="15" customHeight="1" x14ac:dyDescent="0.35">
      <c r="A115" s="193"/>
      <c r="B115" s="193" t="s">
        <v>219</v>
      </c>
      <c r="C115" s="243" t="s">
        <v>144</v>
      </c>
      <c r="D115" s="243" t="s">
        <v>88</v>
      </c>
      <c r="E115" s="244">
        <v>46197</v>
      </c>
      <c r="F115" s="245">
        <f t="shared" ref="F115" ca="1" si="25">+$B$1-E115</f>
        <v>-100</v>
      </c>
      <c r="G115" s="235">
        <v>11778.38</v>
      </c>
      <c r="H115" s="193" t="s">
        <v>1</v>
      </c>
      <c r="I115" s="193" t="s">
        <v>4</v>
      </c>
      <c r="J115" s="246" t="s">
        <v>27</v>
      </c>
      <c r="K115" s="247" t="s">
        <v>38</v>
      </c>
      <c r="L115" s="248"/>
      <c r="M115" s="12">
        <f t="shared" si="15"/>
        <v>3414.0231884057966</v>
      </c>
    </row>
    <row r="116" spans="1:13" s="34" customFormat="1" x14ac:dyDescent="0.35">
      <c r="A116" s="8">
        <v>2025</v>
      </c>
      <c r="B116" s="8" t="s">
        <v>143</v>
      </c>
      <c r="C116" s="22" t="s">
        <v>109</v>
      </c>
      <c r="D116" s="22" t="s">
        <v>0</v>
      </c>
      <c r="E116" s="10">
        <v>46202</v>
      </c>
      <c r="F116" s="27">
        <f ca="1">+$B$1-E116</f>
        <v>-105</v>
      </c>
      <c r="G116" s="136">
        <f>70064+3288</f>
        <v>73352</v>
      </c>
      <c r="H116" s="8" t="s">
        <v>1</v>
      </c>
      <c r="I116" s="8" t="s">
        <v>3</v>
      </c>
      <c r="J116" s="32" t="s">
        <v>31</v>
      </c>
      <c r="K116" s="33" t="s">
        <v>38</v>
      </c>
      <c r="L116" s="33"/>
      <c r="M116" s="12">
        <f t="shared" si="15"/>
        <v>21261.449275362316</v>
      </c>
    </row>
    <row r="117" spans="1:13" x14ac:dyDescent="0.35">
      <c r="A117" s="113" t="s">
        <v>162</v>
      </c>
      <c r="B117" s="113" t="s">
        <v>166</v>
      </c>
      <c r="C117" s="127" t="s">
        <v>18</v>
      </c>
      <c r="D117" s="127" t="s">
        <v>0</v>
      </c>
      <c r="E117" s="133">
        <v>46203</v>
      </c>
      <c r="F117" s="203">
        <f t="shared" ca="1" si="5"/>
        <v>-106</v>
      </c>
      <c r="G117" s="202">
        <v>23458.63</v>
      </c>
      <c r="H117" s="113" t="s">
        <v>1</v>
      </c>
      <c r="I117" s="113" t="s">
        <v>3</v>
      </c>
      <c r="J117" s="204" t="s">
        <v>27</v>
      </c>
      <c r="K117" s="200" t="s">
        <v>38</v>
      </c>
      <c r="L117" s="201"/>
      <c r="M117" s="12">
        <f t="shared" si="15"/>
        <v>6799.6028985507246</v>
      </c>
    </row>
    <row r="118" spans="1:13" s="34" customFormat="1" x14ac:dyDescent="0.35">
      <c r="A118" s="125" t="s">
        <v>159</v>
      </c>
      <c r="B118" s="125" t="s">
        <v>49</v>
      </c>
      <c r="C118" s="187" t="s">
        <v>158</v>
      </c>
      <c r="D118" s="199" t="s">
        <v>88</v>
      </c>
      <c r="E118" s="188">
        <v>46203</v>
      </c>
      <c r="F118" s="131">
        <f t="shared" ref="F118:F172" ca="1" si="26">+$B$1-E118</f>
        <v>-106</v>
      </c>
      <c r="G118" s="189">
        <v>9768.16</v>
      </c>
      <c r="H118" s="125" t="s">
        <v>1</v>
      </c>
      <c r="I118" s="126" t="s">
        <v>3</v>
      </c>
      <c r="J118" s="190" t="s">
        <v>27</v>
      </c>
      <c r="K118" s="191" t="s">
        <v>38</v>
      </c>
      <c r="L118" s="191"/>
      <c r="M118" s="12">
        <f t="shared" si="15"/>
        <v>2831.3507246376812</v>
      </c>
    </row>
    <row r="119" spans="1:13" s="34" customFormat="1" x14ac:dyDescent="0.35">
      <c r="A119" s="263"/>
      <c r="B119" s="263"/>
      <c r="C119" s="264" t="s">
        <v>213</v>
      </c>
      <c r="D119" s="264" t="s">
        <v>60</v>
      </c>
      <c r="E119" s="265">
        <v>46211</v>
      </c>
      <c r="F119" s="266">
        <f t="shared" ca="1" si="26"/>
        <v>-114</v>
      </c>
      <c r="G119" s="153">
        <v>20000</v>
      </c>
      <c r="H119" s="263" t="s">
        <v>1</v>
      </c>
      <c r="I119" s="263" t="s">
        <v>3</v>
      </c>
      <c r="J119" s="267" t="s">
        <v>47</v>
      </c>
      <c r="K119" s="268" t="s">
        <v>38</v>
      </c>
      <c r="L119" s="268"/>
      <c r="M119" s="12">
        <f t="shared" si="15"/>
        <v>5797.101449275362</v>
      </c>
    </row>
    <row r="120" spans="1:13" s="34" customFormat="1" x14ac:dyDescent="0.35">
      <c r="A120" s="263"/>
      <c r="B120" s="263"/>
      <c r="C120" s="264" t="s">
        <v>213</v>
      </c>
      <c r="D120" s="264" t="s">
        <v>0</v>
      </c>
      <c r="E120" s="265">
        <v>46211</v>
      </c>
      <c r="F120" s="266">
        <f t="shared" ca="1" si="26"/>
        <v>-114</v>
      </c>
      <c r="G120" s="153">
        <v>20000</v>
      </c>
      <c r="H120" s="263" t="s">
        <v>1</v>
      </c>
      <c r="I120" s="263" t="s">
        <v>3</v>
      </c>
      <c r="J120" s="267" t="s">
        <v>47</v>
      </c>
      <c r="K120" s="268" t="s">
        <v>38</v>
      </c>
      <c r="L120" s="268"/>
      <c r="M120" s="12">
        <f t="shared" si="15"/>
        <v>5797.101449275362</v>
      </c>
    </row>
    <row r="121" spans="1:13" s="34" customFormat="1" ht="15" customHeight="1" x14ac:dyDescent="0.35">
      <c r="A121" s="8" t="s">
        <v>183</v>
      </c>
      <c r="B121" s="17" t="s">
        <v>187</v>
      </c>
      <c r="C121" s="208" t="s">
        <v>182</v>
      </c>
      <c r="D121" s="208" t="s">
        <v>41</v>
      </c>
      <c r="E121" s="18">
        <v>46216</v>
      </c>
      <c r="F121" s="209">
        <f t="shared" ca="1" si="26"/>
        <v>-119</v>
      </c>
      <c r="G121" s="210">
        <v>30099.17</v>
      </c>
      <c r="H121" s="17" t="s">
        <v>1</v>
      </c>
      <c r="I121" s="211" t="s">
        <v>4</v>
      </c>
      <c r="J121" s="32" t="s">
        <v>27</v>
      </c>
      <c r="K121" s="33" t="s">
        <v>38</v>
      </c>
      <c r="L121" s="33"/>
      <c r="M121" s="12">
        <f t="shared" si="15"/>
        <v>8724.3971014492745</v>
      </c>
    </row>
    <row r="122" spans="1:13" s="34" customFormat="1" ht="15" customHeight="1" x14ac:dyDescent="0.35">
      <c r="A122" s="193"/>
      <c r="B122" s="193" t="s">
        <v>220</v>
      </c>
      <c r="C122" s="243" t="s">
        <v>144</v>
      </c>
      <c r="D122" s="243" t="s">
        <v>88</v>
      </c>
      <c r="E122" s="244">
        <v>46227</v>
      </c>
      <c r="F122" s="245">
        <f t="shared" ca="1" si="26"/>
        <v>-130</v>
      </c>
      <c r="G122" s="235">
        <v>11778.38</v>
      </c>
      <c r="H122" s="193" t="s">
        <v>1</v>
      </c>
      <c r="I122" s="193" t="s">
        <v>4</v>
      </c>
      <c r="J122" s="246" t="s">
        <v>27</v>
      </c>
      <c r="K122" s="247" t="s">
        <v>38</v>
      </c>
      <c r="L122" s="248"/>
      <c r="M122" s="12">
        <f t="shared" si="15"/>
        <v>3414.0231884057966</v>
      </c>
    </row>
    <row r="123" spans="1:13" x14ac:dyDescent="0.35">
      <c r="A123" s="8" t="s">
        <v>147</v>
      </c>
      <c r="B123" s="42" t="s">
        <v>148</v>
      </c>
      <c r="C123" s="9" t="s">
        <v>145</v>
      </c>
      <c r="D123" s="9" t="s">
        <v>0</v>
      </c>
      <c r="E123" s="10">
        <v>46227</v>
      </c>
      <c r="F123" s="27">
        <f ca="1">+$B$1-E123</f>
        <v>-130</v>
      </c>
      <c r="G123" s="139">
        <v>160</v>
      </c>
      <c r="H123" s="8" t="s">
        <v>1</v>
      </c>
      <c r="I123" s="8" t="s">
        <v>3</v>
      </c>
      <c r="J123" s="250" t="s">
        <v>145</v>
      </c>
      <c r="K123" s="19" t="s">
        <v>38</v>
      </c>
      <c r="L123" s="14"/>
      <c r="M123" s="12">
        <f t="shared" si="15"/>
        <v>46.376811594202898</v>
      </c>
    </row>
    <row r="124" spans="1:13" s="34" customFormat="1" x14ac:dyDescent="0.35">
      <c r="A124" s="29" t="s">
        <v>245</v>
      </c>
      <c r="B124" s="29" t="s">
        <v>199</v>
      </c>
      <c r="C124" s="37" t="s">
        <v>109</v>
      </c>
      <c r="D124" s="37" t="s">
        <v>88</v>
      </c>
      <c r="E124" s="31">
        <v>46232</v>
      </c>
      <c r="F124" s="41">
        <f ca="1">+$B$1-E124</f>
        <v>-135</v>
      </c>
      <c r="G124" s="138">
        <v>25712</v>
      </c>
      <c r="H124" s="29" t="s">
        <v>1</v>
      </c>
      <c r="I124" s="29" t="s">
        <v>3</v>
      </c>
      <c r="J124" s="212" t="s">
        <v>31</v>
      </c>
      <c r="K124" s="213" t="s">
        <v>38</v>
      </c>
      <c r="L124" s="33"/>
      <c r="M124" s="12">
        <f t="shared" si="15"/>
        <v>7452.7536231884051</v>
      </c>
    </row>
    <row r="125" spans="1:13" x14ac:dyDescent="0.35">
      <c r="A125" s="113" t="s">
        <v>162</v>
      </c>
      <c r="B125" s="113" t="s">
        <v>167</v>
      </c>
      <c r="C125" s="127" t="s">
        <v>18</v>
      </c>
      <c r="D125" s="127" t="s">
        <v>0</v>
      </c>
      <c r="E125" s="133">
        <v>46233</v>
      </c>
      <c r="F125" s="203">
        <f t="shared" ca="1" si="26"/>
        <v>-136</v>
      </c>
      <c r="G125" s="202">
        <v>22781.64</v>
      </c>
      <c r="H125" s="113" t="s">
        <v>1</v>
      </c>
      <c r="I125" s="113" t="s">
        <v>3</v>
      </c>
      <c r="J125" s="204" t="s">
        <v>27</v>
      </c>
      <c r="K125" s="200" t="s">
        <v>38</v>
      </c>
      <c r="L125" s="201"/>
      <c r="M125" s="12">
        <f t="shared" si="15"/>
        <v>6603.3739130434778</v>
      </c>
    </row>
    <row r="126" spans="1:13" s="34" customFormat="1" x14ac:dyDescent="0.35">
      <c r="A126" s="125" t="s">
        <v>159</v>
      </c>
      <c r="B126" s="125" t="s">
        <v>50</v>
      </c>
      <c r="C126" s="187" t="s">
        <v>158</v>
      </c>
      <c r="D126" s="199" t="s">
        <v>88</v>
      </c>
      <c r="E126" s="188">
        <v>46233</v>
      </c>
      <c r="F126" s="131">
        <f t="shared" ca="1" si="26"/>
        <v>-136</v>
      </c>
      <c r="G126" s="189">
        <v>9768.16</v>
      </c>
      <c r="H126" s="125" t="s">
        <v>1</v>
      </c>
      <c r="I126" s="126" t="s">
        <v>3</v>
      </c>
      <c r="J126" s="190" t="s">
        <v>27</v>
      </c>
      <c r="K126" s="191" t="s">
        <v>38</v>
      </c>
      <c r="L126" s="191"/>
      <c r="M126" s="12">
        <f t="shared" si="15"/>
        <v>2831.3507246376812</v>
      </c>
    </row>
    <row r="127" spans="1:13" s="34" customFormat="1" x14ac:dyDescent="0.35">
      <c r="A127" s="263"/>
      <c r="B127" s="263"/>
      <c r="C127" s="264" t="s">
        <v>213</v>
      </c>
      <c r="D127" s="264" t="s">
        <v>60</v>
      </c>
      <c r="E127" s="265">
        <v>46242</v>
      </c>
      <c r="F127" s="266">
        <f t="shared" ref="F127:F128" ca="1" si="27">+$B$1-E127</f>
        <v>-145</v>
      </c>
      <c r="G127" s="153">
        <v>20000</v>
      </c>
      <c r="H127" s="263" t="s">
        <v>1</v>
      </c>
      <c r="I127" s="263" t="s">
        <v>3</v>
      </c>
      <c r="J127" s="267" t="s">
        <v>47</v>
      </c>
      <c r="K127" s="268" t="s">
        <v>38</v>
      </c>
      <c r="L127" s="268"/>
      <c r="M127" s="12">
        <f t="shared" si="15"/>
        <v>5797.101449275362</v>
      </c>
    </row>
    <row r="128" spans="1:13" s="34" customFormat="1" x14ac:dyDescent="0.35">
      <c r="A128" s="263"/>
      <c r="B128" s="263"/>
      <c r="C128" s="264" t="s">
        <v>213</v>
      </c>
      <c r="D128" s="264" t="s">
        <v>0</v>
      </c>
      <c r="E128" s="265">
        <v>46242</v>
      </c>
      <c r="F128" s="266">
        <f t="shared" ca="1" si="27"/>
        <v>-145</v>
      </c>
      <c r="G128" s="153">
        <v>20000</v>
      </c>
      <c r="H128" s="263" t="s">
        <v>1</v>
      </c>
      <c r="I128" s="263" t="s">
        <v>3</v>
      </c>
      <c r="J128" s="267" t="s">
        <v>47</v>
      </c>
      <c r="K128" s="268" t="s">
        <v>38</v>
      </c>
      <c r="L128" s="268"/>
      <c r="M128" s="12">
        <f t="shared" si="15"/>
        <v>5797.101449275362</v>
      </c>
    </row>
    <row r="129" spans="1:13" s="34" customFormat="1" ht="15" customHeight="1" x14ac:dyDescent="0.35">
      <c r="A129" s="8" t="s">
        <v>183</v>
      </c>
      <c r="B129" s="17" t="s">
        <v>188</v>
      </c>
      <c r="C129" s="208" t="s">
        <v>182</v>
      </c>
      <c r="D129" s="208" t="s">
        <v>41</v>
      </c>
      <c r="E129" s="18">
        <v>46247</v>
      </c>
      <c r="F129" s="209">
        <f t="shared" ca="1" si="26"/>
        <v>-150</v>
      </c>
      <c r="G129" s="210">
        <v>30099.17</v>
      </c>
      <c r="H129" s="17" t="s">
        <v>1</v>
      </c>
      <c r="I129" s="211" t="s">
        <v>4</v>
      </c>
      <c r="J129" s="32" t="s">
        <v>27</v>
      </c>
      <c r="K129" s="33" t="s">
        <v>38</v>
      </c>
      <c r="L129" s="33"/>
      <c r="M129" s="12">
        <f t="shared" si="15"/>
        <v>8724.3971014492745</v>
      </c>
    </row>
    <row r="130" spans="1:13" s="34" customFormat="1" ht="15" customHeight="1" x14ac:dyDescent="0.35">
      <c r="A130" s="193"/>
      <c r="B130" s="193" t="s">
        <v>221</v>
      </c>
      <c r="C130" s="243" t="s">
        <v>144</v>
      </c>
      <c r="D130" s="243" t="s">
        <v>88</v>
      </c>
      <c r="E130" s="244">
        <v>46258</v>
      </c>
      <c r="F130" s="245">
        <f t="shared" ref="F130" ca="1" si="28">+$B$1-E130</f>
        <v>-161</v>
      </c>
      <c r="G130" s="235">
        <v>11778.38</v>
      </c>
      <c r="H130" s="193" t="s">
        <v>1</v>
      </c>
      <c r="I130" s="193" t="s">
        <v>4</v>
      </c>
      <c r="J130" s="246" t="s">
        <v>27</v>
      </c>
      <c r="K130" s="247" t="s">
        <v>38</v>
      </c>
      <c r="L130" s="248"/>
      <c r="M130" s="12">
        <f t="shared" si="15"/>
        <v>3414.0231884057966</v>
      </c>
    </row>
    <row r="131" spans="1:13" x14ac:dyDescent="0.35">
      <c r="A131" s="113" t="s">
        <v>162</v>
      </c>
      <c r="B131" s="113" t="s">
        <v>168</v>
      </c>
      <c r="C131" s="127" t="s">
        <v>18</v>
      </c>
      <c r="D131" s="127" t="s">
        <v>0</v>
      </c>
      <c r="E131" s="133">
        <v>46262</v>
      </c>
      <c r="F131" s="203">
        <f t="shared" ca="1" si="26"/>
        <v>-165</v>
      </c>
      <c r="G131" s="202">
        <v>22481.66</v>
      </c>
      <c r="H131" s="113" t="s">
        <v>1</v>
      </c>
      <c r="I131" s="113" t="s">
        <v>3</v>
      </c>
      <c r="J131" s="204" t="s">
        <v>27</v>
      </c>
      <c r="K131" s="200" t="s">
        <v>38</v>
      </c>
      <c r="L131" s="201"/>
      <c r="M131" s="12">
        <f t="shared" si="15"/>
        <v>6516.4231884057963</v>
      </c>
    </row>
    <row r="132" spans="1:13" s="34" customFormat="1" x14ac:dyDescent="0.35">
      <c r="A132" s="125" t="s">
        <v>159</v>
      </c>
      <c r="B132" s="125" t="s">
        <v>54</v>
      </c>
      <c r="C132" s="187" t="s">
        <v>158</v>
      </c>
      <c r="D132" s="199" t="s">
        <v>88</v>
      </c>
      <c r="E132" s="188">
        <v>46264</v>
      </c>
      <c r="F132" s="131">
        <f t="shared" ca="1" si="26"/>
        <v>-167</v>
      </c>
      <c r="G132" s="189">
        <v>9768.16</v>
      </c>
      <c r="H132" s="125" t="s">
        <v>1</v>
      </c>
      <c r="I132" s="126" t="s">
        <v>3</v>
      </c>
      <c r="J132" s="190" t="s">
        <v>27</v>
      </c>
      <c r="K132" s="191" t="s">
        <v>38</v>
      </c>
      <c r="L132" s="191"/>
      <c r="M132" s="12">
        <f t="shared" si="15"/>
        <v>2831.3507246376812</v>
      </c>
    </row>
    <row r="133" spans="1:13" s="34" customFormat="1" x14ac:dyDescent="0.35">
      <c r="A133" s="8" t="s">
        <v>142</v>
      </c>
      <c r="B133" s="8" t="s">
        <v>119</v>
      </c>
      <c r="C133" s="22" t="s">
        <v>140</v>
      </c>
      <c r="D133" s="22" t="s">
        <v>0</v>
      </c>
      <c r="E133" s="10">
        <v>46265</v>
      </c>
      <c r="F133" s="27">
        <f t="shared" ca="1" si="26"/>
        <v>-168</v>
      </c>
      <c r="G133" s="136">
        <v>371.85</v>
      </c>
      <c r="H133" s="8" t="s">
        <v>1</v>
      </c>
      <c r="I133" s="8" t="s">
        <v>3</v>
      </c>
      <c r="J133" s="32" t="s">
        <v>31</v>
      </c>
      <c r="K133" s="33" t="s">
        <v>38</v>
      </c>
      <c r="L133" s="33"/>
      <c r="M133" s="12">
        <f t="shared" ref="M133:M173" si="29">+IF(H133="SOLES",(G133/$F$1),(G133))</f>
        <v>107.78260869565217</v>
      </c>
    </row>
    <row r="134" spans="1:13" s="34" customFormat="1" x14ac:dyDescent="0.35">
      <c r="A134" s="8" t="s">
        <v>151</v>
      </c>
      <c r="B134" s="8" t="s">
        <v>119</v>
      </c>
      <c r="C134" s="22" t="s">
        <v>140</v>
      </c>
      <c r="D134" s="22" t="s">
        <v>60</v>
      </c>
      <c r="E134" s="10">
        <v>46265</v>
      </c>
      <c r="F134" s="27">
        <f t="shared" ca="1" si="26"/>
        <v>-168</v>
      </c>
      <c r="G134" s="136">
        <v>300</v>
      </c>
      <c r="H134" s="8" t="s">
        <v>1</v>
      </c>
      <c r="I134" s="8" t="s">
        <v>3</v>
      </c>
      <c r="J134" s="32" t="s">
        <v>31</v>
      </c>
      <c r="K134" s="33" t="s">
        <v>38</v>
      </c>
      <c r="L134" s="33"/>
      <c r="M134" s="12">
        <f t="shared" si="29"/>
        <v>86.956521739130437</v>
      </c>
    </row>
    <row r="135" spans="1:13" s="34" customFormat="1" x14ac:dyDescent="0.35">
      <c r="A135" s="263"/>
      <c r="B135" s="263"/>
      <c r="C135" s="264" t="s">
        <v>213</v>
      </c>
      <c r="D135" s="264" t="s">
        <v>60</v>
      </c>
      <c r="E135" s="265">
        <v>46273</v>
      </c>
      <c r="F135" s="266">
        <f t="shared" ca="1" si="26"/>
        <v>-176</v>
      </c>
      <c r="G135" s="153">
        <v>20000</v>
      </c>
      <c r="H135" s="263" t="s">
        <v>1</v>
      </c>
      <c r="I135" s="263" t="s">
        <v>3</v>
      </c>
      <c r="J135" s="267" t="s">
        <v>47</v>
      </c>
      <c r="K135" s="268" t="s">
        <v>38</v>
      </c>
      <c r="L135" s="268"/>
      <c r="M135" s="12">
        <f t="shared" si="29"/>
        <v>5797.101449275362</v>
      </c>
    </row>
    <row r="136" spans="1:13" s="34" customFormat="1" x14ac:dyDescent="0.35">
      <c r="A136" s="263"/>
      <c r="B136" s="263"/>
      <c r="C136" s="264" t="s">
        <v>213</v>
      </c>
      <c r="D136" s="264" t="s">
        <v>0</v>
      </c>
      <c r="E136" s="265">
        <v>46273</v>
      </c>
      <c r="F136" s="266">
        <f t="shared" ca="1" si="26"/>
        <v>-176</v>
      </c>
      <c r="G136" s="153">
        <v>20000</v>
      </c>
      <c r="H136" s="263" t="s">
        <v>1</v>
      </c>
      <c r="I136" s="263" t="s">
        <v>3</v>
      </c>
      <c r="J136" s="267" t="s">
        <v>47</v>
      </c>
      <c r="K136" s="268" t="s">
        <v>38</v>
      </c>
      <c r="L136" s="268"/>
      <c r="M136" s="12">
        <f t="shared" si="29"/>
        <v>5797.101449275362</v>
      </c>
    </row>
    <row r="137" spans="1:13" x14ac:dyDescent="0.35">
      <c r="A137" s="8" t="s">
        <v>253</v>
      </c>
      <c r="B137" s="42" t="s">
        <v>142</v>
      </c>
      <c r="C137" s="9" t="s">
        <v>145</v>
      </c>
      <c r="D137" s="9" t="s">
        <v>0</v>
      </c>
      <c r="E137" s="10">
        <v>46270</v>
      </c>
      <c r="F137" s="27">
        <f ca="1">+$B$1-E137</f>
        <v>-173</v>
      </c>
      <c r="G137" s="139">
        <v>160</v>
      </c>
      <c r="H137" s="8" t="s">
        <v>1</v>
      </c>
      <c r="I137" s="8" t="s">
        <v>3</v>
      </c>
      <c r="J137" s="250" t="s">
        <v>145</v>
      </c>
      <c r="K137" s="19" t="s">
        <v>38</v>
      </c>
      <c r="L137" s="14"/>
      <c r="M137" s="12">
        <f t="shared" si="29"/>
        <v>46.376811594202898</v>
      </c>
    </row>
    <row r="138" spans="1:13" s="34" customFormat="1" ht="15" customHeight="1" x14ac:dyDescent="0.35">
      <c r="A138" s="8" t="s">
        <v>183</v>
      </c>
      <c r="B138" s="17" t="s">
        <v>189</v>
      </c>
      <c r="C138" s="208" t="s">
        <v>182</v>
      </c>
      <c r="D138" s="208" t="s">
        <v>41</v>
      </c>
      <c r="E138" s="18">
        <v>46279</v>
      </c>
      <c r="F138" s="209">
        <f t="shared" ca="1" si="26"/>
        <v>-182</v>
      </c>
      <c r="G138" s="210">
        <v>30099.17</v>
      </c>
      <c r="H138" s="17" t="s">
        <v>1</v>
      </c>
      <c r="I138" s="211" t="s">
        <v>4</v>
      </c>
      <c r="J138" s="32" t="s">
        <v>27</v>
      </c>
      <c r="K138" s="33" t="s">
        <v>38</v>
      </c>
      <c r="L138" s="33"/>
      <c r="M138" s="12">
        <f t="shared" si="29"/>
        <v>8724.3971014492745</v>
      </c>
    </row>
    <row r="139" spans="1:13" s="34" customFormat="1" ht="15" customHeight="1" x14ac:dyDescent="0.35">
      <c r="A139" s="193"/>
      <c r="B139" s="193" t="s">
        <v>222</v>
      </c>
      <c r="C139" s="243" t="s">
        <v>144</v>
      </c>
      <c r="D139" s="243" t="s">
        <v>88</v>
      </c>
      <c r="E139" s="244">
        <v>46289</v>
      </c>
      <c r="F139" s="245">
        <f t="shared" ca="1" si="26"/>
        <v>-192</v>
      </c>
      <c r="G139" s="235">
        <v>11778.38</v>
      </c>
      <c r="H139" s="193" t="s">
        <v>1</v>
      </c>
      <c r="I139" s="193" t="s">
        <v>4</v>
      </c>
      <c r="J139" s="246" t="s">
        <v>27</v>
      </c>
      <c r="K139" s="247" t="s">
        <v>38</v>
      </c>
      <c r="L139" s="248"/>
      <c r="M139" s="12">
        <f t="shared" si="29"/>
        <v>3414.0231884057966</v>
      </c>
    </row>
    <row r="140" spans="1:13" x14ac:dyDescent="0.35">
      <c r="A140" s="113" t="s">
        <v>162</v>
      </c>
      <c r="B140" s="113" t="s">
        <v>169</v>
      </c>
      <c r="C140" s="127" t="s">
        <v>18</v>
      </c>
      <c r="D140" s="127" t="s">
        <v>0</v>
      </c>
      <c r="E140" s="133">
        <v>46293</v>
      </c>
      <c r="F140" s="203">
        <f t="shared" ca="1" si="26"/>
        <v>-196</v>
      </c>
      <c r="G140" s="202">
        <v>22705.35</v>
      </c>
      <c r="H140" s="113" t="s">
        <v>1</v>
      </c>
      <c r="I140" s="113" t="s">
        <v>3</v>
      </c>
      <c r="J140" s="204" t="s">
        <v>27</v>
      </c>
      <c r="K140" s="200" t="s">
        <v>38</v>
      </c>
      <c r="L140" s="201"/>
      <c r="M140" s="12">
        <f t="shared" si="29"/>
        <v>6581.260869565217</v>
      </c>
    </row>
    <row r="141" spans="1:13" s="34" customFormat="1" x14ac:dyDescent="0.35">
      <c r="A141" s="125" t="s">
        <v>159</v>
      </c>
      <c r="B141" s="125" t="s">
        <v>55</v>
      </c>
      <c r="C141" s="187" t="s">
        <v>158</v>
      </c>
      <c r="D141" s="199" t="s">
        <v>88</v>
      </c>
      <c r="E141" s="188">
        <v>46295</v>
      </c>
      <c r="F141" s="131">
        <f t="shared" ca="1" si="26"/>
        <v>-198</v>
      </c>
      <c r="G141" s="189">
        <v>9768.16</v>
      </c>
      <c r="H141" s="125" t="s">
        <v>1</v>
      </c>
      <c r="I141" s="126" t="s">
        <v>3</v>
      </c>
      <c r="J141" s="190" t="s">
        <v>27</v>
      </c>
      <c r="K141" s="191" t="s">
        <v>38</v>
      </c>
      <c r="L141" s="191"/>
      <c r="M141" s="12">
        <f t="shared" si="29"/>
        <v>2831.3507246376812</v>
      </c>
    </row>
    <row r="142" spans="1:13" s="34" customFormat="1" x14ac:dyDescent="0.35">
      <c r="A142" s="263"/>
      <c r="B142" s="263"/>
      <c r="C142" s="264" t="s">
        <v>213</v>
      </c>
      <c r="D142" s="264" t="s">
        <v>60</v>
      </c>
      <c r="E142" s="265">
        <v>46303</v>
      </c>
      <c r="F142" s="266">
        <f t="shared" ref="F142:F143" ca="1" si="30">+$B$1-E142</f>
        <v>-206</v>
      </c>
      <c r="G142" s="153">
        <v>20000</v>
      </c>
      <c r="H142" s="263" t="s">
        <v>1</v>
      </c>
      <c r="I142" s="263" t="s">
        <v>3</v>
      </c>
      <c r="J142" s="267" t="s">
        <v>47</v>
      </c>
      <c r="K142" s="268" t="s">
        <v>38</v>
      </c>
      <c r="L142" s="268"/>
      <c r="M142" s="12">
        <f t="shared" si="29"/>
        <v>5797.101449275362</v>
      </c>
    </row>
    <row r="143" spans="1:13" s="34" customFormat="1" x14ac:dyDescent="0.35">
      <c r="A143" s="263"/>
      <c r="B143" s="263"/>
      <c r="C143" s="264" t="s">
        <v>213</v>
      </c>
      <c r="D143" s="264" t="s">
        <v>0</v>
      </c>
      <c r="E143" s="265">
        <v>46303</v>
      </c>
      <c r="F143" s="266">
        <f t="shared" ca="1" si="30"/>
        <v>-206</v>
      </c>
      <c r="G143" s="153">
        <v>20000</v>
      </c>
      <c r="H143" s="263" t="s">
        <v>1</v>
      </c>
      <c r="I143" s="263" t="s">
        <v>3</v>
      </c>
      <c r="J143" s="267" t="s">
        <v>47</v>
      </c>
      <c r="K143" s="268" t="s">
        <v>38</v>
      </c>
      <c r="L143" s="268"/>
      <c r="M143" s="12">
        <f t="shared" si="29"/>
        <v>5797.101449275362</v>
      </c>
    </row>
    <row r="144" spans="1:13" s="34" customFormat="1" ht="15" customHeight="1" x14ac:dyDescent="0.35">
      <c r="A144" s="8" t="s">
        <v>183</v>
      </c>
      <c r="B144" s="17" t="s">
        <v>190</v>
      </c>
      <c r="C144" s="208" t="s">
        <v>182</v>
      </c>
      <c r="D144" s="208" t="s">
        <v>41</v>
      </c>
      <c r="E144" s="18">
        <v>46308</v>
      </c>
      <c r="F144" s="209">
        <f t="shared" ca="1" si="26"/>
        <v>-211</v>
      </c>
      <c r="G144" s="210">
        <v>30099.17</v>
      </c>
      <c r="H144" s="17" t="s">
        <v>1</v>
      </c>
      <c r="I144" s="211" t="s">
        <v>4</v>
      </c>
      <c r="J144" s="32" t="s">
        <v>27</v>
      </c>
      <c r="K144" s="33" t="s">
        <v>38</v>
      </c>
      <c r="L144" s="33"/>
      <c r="M144" s="12">
        <f t="shared" si="29"/>
        <v>8724.3971014492745</v>
      </c>
    </row>
    <row r="145" spans="1:13" s="34" customFormat="1" ht="15" customHeight="1" x14ac:dyDescent="0.35">
      <c r="A145" s="193"/>
      <c r="B145" s="193" t="s">
        <v>223</v>
      </c>
      <c r="C145" s="243" t="s">
        <v>144</v>
      </c>
      <c r="D145" s="243" t="s">
        <v>88</v>
      </c>
      <c r="E145" s="244">
        <v>46319</v>
      </c>
      <c r="F145" s="245">
        <f t="shared" ref="F145" ca="1" si="31">+$B$1-E145</f>
        <v>-222</v>
      </c>
      <c r="G145" s="235">
        <v>11778.38</v>
      </c>
      <c r="H145" s="193" t="s">
        <v>1</v>
      </c>
      <c r="I145" s="193" t="s">
        <v>4</v>
      </c>
      <c r="J145" s="246" t="s">
        <v>27</v>
      </c>
      <c r="K145" s="247" t="s">
        <v>38</v>
      </c>
      <c r="L145" s="248"/>
      <c r="M145" s="12">
        <f t="shared" si="29"/>
        <v>3414.0231884057966</v>
      </c>
    </row>
    <row r="146" spans="1:13" x14ac:dyDescent="0.35">
      <c r="A146" s="113" t="s">
        <v>162</v>
      </c>
      <c r="B146" s="113" t="s">
        <v>170</v>
      </c>
      <c r="C146" s="127" t="s">
        <v>18</v>
      </c>
      <c r="D146" s="127" t="s">
        <v>0</v>
      </c>
      <c r="E146" s="133">
        <v>46323</v>
      </c>
      <c r="F146" s="203">
        <f t="shared" ca="1" si="26"/>
        <v>-226</v>
      </c>
      <c r="G146" s="202">
        <v>22705.35</v>
      </c>
      <c r="H146" s="113" t="s">
        <v>1</v>
      </c>
      <c r="I146" s="113" t="s">
        <v>3</v>
      </c>
      <c r="J146" s="204" t="s">
        <v>27</v>
      </c>
      <c r="K146" s="200" t="s">
        <v>38</v>
      </c>
      <c r="L146" s="201"/>
      <c r="M146" s="12">
        <f t="shared" si="29"/>
        <v>6581.260869565217</v>
      </c>
    </row>
    <row r="147" spans="1:13" s="34" customFormat="1" x14ac:dyDescent="0.35">
      <c r="A147" s="125" t="s">
        <v>159</v>
      </c>
      <c r="B147" s="125" t="s">
        <v>56</v>
      </c>
      <c r="C147" s="187" t="s">
        <v>158</v>
      </c>
      <c r="D147" s="199" t="s">
        <v>88</v>
      </c>
      <c r="E147" s="188">
        <v>46325</v>
      </c>
      <c r="F147" s="131">
        <f t="shared" ca="1" si="26"/>
        <v>-228</v>
      </c>
      <c r="G147" s="189">
        <v>9768.16</v>
      </c>
      <c r="H147" s="125" t="s">
        <v>1</v>
      </c>
      <c r="I147" s="126" t="s">
        <v>3</v>
      </c>
      <c r="J147" s="190" t="s">
        <v>27</v>
      </c>
      <c r="K147" s="191" t="s">
        <v>38</v>
      </c>
      <c r="L147" s="191"/>
      <c r="M147" s="12">
        <f t="shared" si="29"/>
        <v>2831.3507246376812</v>
      </c>
    </row>
    <row r="148" spans="1:13" s="34" customFormat="1" x14ac:dyDescent="0.35">
      <c r="A148" s="263"/>
      <c r="B148" s="263"/>
      <c r="C148" s="264" t="s">
        <v>213</v>
      </c>
      <c r="D148" s="264" t="s">
        <v>60</v>
      </c>
      <c r="E148" s="265">
        <v>46334</v>
      </c>
      <c r="F148" s="266">
        <f t="shared" ca="1" si="26"/>
        <v>-237</v>
      </c>
      <c r="G148" s="153">
        <v>20000</v>
      </c>
      <c r="H148" s="263" t="s">
        <v>1</v>
      </c>
      <c r="I148" s="263" t="s">
        <v>3</v>
      </c>
      <c r="J148" s="267" t="s">
        <v>47</v>
      </c>
      <c r="K148" s="268" t="s">
        <v>38</v>
      </c>
      <c r="L148" s="268"/>
      <c r="M148" s="12">
        <f t="shared" si="29"/>
        <v>5797.101449275362</v>
      </c>
    </row>
    <row r="149" spans="1:13" s="34" customFormat="1" x14ac:dyDescent="0.35">
      <c r="A149" s="263"/>
      <c r="B149" s="263"/>
      <c r="C149" s="264" t="s">
        <v>213</v>
      </c>
      <c r="D149" s="264" t="s">
        <v>0</v>
      </c>
      <c r="E149" s="265">
        <v>46334</v>
      </c>
      <c r="F149" s="266">
        <f t="shared" ca="1" si="26"/>
        <v>-237</v>
      </c>
      <c r="G149" s="153">
        <v>20000</v>
      </c>
      <c r="H149" s="263" t="s">
        <v>1</v>
      </c>
      <c r="I149" s="263" t="s">
        <v>3</v>
      </c>
      <c r="J149" s="267" t="s">
        <v>47</v>
      </c>
      <c r="K149" s="268" t="s">
        <v>38</v>
      </c>
      <c r="L149" s="268"/>
      <c r="M149" s="12">
        <f t="shared" si="29"/>
        <v>5797.101449275362</v>
      </c>
    </row>
    <row r="150" spans="1:13" s="34" customFormat="1" ht="15" customHeight="1" x14ac:dyDescent="0.35">
      <c r="A150" s="8" t="s">
        <v>183</v>
      </c>
      <c r="B150" s="17" t="s">
        <v>191</v>
      </c>
      <c r="C150" s="208" t="s">
        <v>182</v>
      </c>
      <c r="D150" s="208" t="s">
        <v>41</v>
      </c>
      <c r="E150" s="18">
        <v>46339</v>
      </c>
      <c r="F150" s="209">
        <f t="shared" ca="1" si="26"/>
        <v>-242</v>
      </c>
      <c r="G150" s="210">
        <v>30099.17</v>
      </c>
      <c r="H150" s="17" t="s">
        <v>1</v>
      </c>
      <c r="I150" s="211" t="s">
        <v>4</v>
      </c>
      <c r="J150" s="32" t="s">
        <v>27</v>
      </c>
      <c r="K150" s="33" t="s">
        <v>38</v>
      </c>
      <c r="L150" s="33"/>
      <c r="M150" s="12">
        <f t="shared" si="29"/>
        <v>8724.3971014492745</v>
      </c>
    </row>
    <row r="151" spans="1:13" s="34" customFormat="1" ht="15" customHeight="1" x14ac:dyDescent="0.35">
      <c r="A151" s="193"/>
      <c r="B151" s="193" t="s">
        <v>224</v>
      </c>
      <c r="C151" s="243" t="s">
        <v>144</v>
      </c>
      <c r="D151" s="243" t="s">
        <v>88</v>
      </c>
      <c r="E151" s="244">
        <v>46350</v>
      </c>
      <c r="F151" s="245">
        <f t="shared" ca="1" si="26"/>
        <v>-253</v>
      </c>
      <c r="G151" s="235">
        <v>11778.38</v>
      </c>
      <c r="H151" s="193" t="s">
        <v>1</v>
      </c>
      <c r="I151" s="193" t="s">
        <v>4</v>
      </c>
      <c r="J151" s="246" t="s">
        <v>27</v>
      </c>
      <c r="K151" s="247" t="s">
        <v>38</v>
      </c>
      <c r="L151" s="248"/>
      <c r="M151" s="12">
        <f t="shared" si="29"/>
        <v>3414.0231884057966</v>
      </c>
    </row>
    <row r="152" spans="1:13" s="34" customFormat="1" x14ac:dyDescent="0.35">
      <c r="A152" s="8" t="s">
        <v>255</v>
      </c>
      <c r="B152" s="8" t="s">
        <v>152</v>
      </c>
      <c r="C152" s="22" t="s">
        <v>145</v>
      </c>
      <c r="D152" s="22" t="s">
        <v>60</v>
      </c>
      <c r="E152" s="10">
        <v>46351</v>
      </c>
      <c r="F152" s="27">
        <f t="shared" ca="1" si="26"/>
        <v>-254</v>
      </c>
      <c r="G152" s="136">
        <v>160</v>
      </c>
      <c r="H152" s="8" t="s">
        <v>1</v>
      </c>
      <c r="I152" s="8" t="s">
        <v>3</v>
      </c>
      <c r="J152" s="32" t="s">
        <v>145</v>
      </c>
      <c r="K152" s="33" t="s">
        <v>38</v>
      </c>
      <c r="L152" s="33"/>
      <c r="M152" s="12">
        <f t="shared" si="29"/>
        <v>46.376811594202898</v>
      </c>
    </row>
    <row r="153" spans="1:13" x14ac:dyDescent="0.35">
      <c r="A153" s="8" t="s">
        <v>252</v>
      </c>
      <c r="B153" s="42" t="s">
        <v>146</v>
      </c>
      <c r="C153" s="9" t="s">
        <v>145</v>
      </c>
      <c r="D153" s="9" t="s">
        <v>0</v>
      </c>
      <c r="E153" s="10">
        <v>46353</v>
      </c>
      <c r="F153" s="27">
        <f ca="1">+$B$1-E153</f>
        <v>-256</v>
      </c>
      <c r="G153" s="139">
        <v>160</v>
      </c>
      <c r="H153" s="8" t="s">
        <v>1</v>
      </c>
      <c r="I153" s="8" t="s">
        <v>3</v>
      </c>
      <c r="J153" s="250" t="s">
        <v>145</v>
      </c>
      <c r="K153" s="19" t="s">
        <v>38</v>
      </c>
      <c r="L153" s="14"/>
      <c r="M153" s="12">
        <f t="shared" si="29"/>
        <v>46.376811594202898</v>
      </c>
    </row>
    <row r="154" spans="1:13" x14ac:dyDescent="0.35">
      <c r="A154" s="8" t="s">
        <v>153</v>
      </c>
      <c r="B154" s="42" t="s">
        <v>141</v>
      </c>
      <c r="C154" s="9" t="s">
        <v>145</v>
      </c>
      <c r="D154" s="9" t="s">
        <v>88</v>
      </c>
      <c r="E154" s="10">
        <v>46354</v>
      </c>
      <c r="F154" s="27">
        <f ca="1">+$B$1-E154</f>
        <v>-257</v>
      </c>
      <c r="G154" s="139">
        <v>160</v>
      </c>
      <c r="H154" s="8" t="s">
        <v>1</v>
      </c>
      <c r="I154" s="8" t="s">
        <v>3</v>
      </c>
      <c r="J154" s="250" t="s">
        <v>145</v>
      </c>
      <c r="K154" s="19" t="s">
        <v>38</v>
      </c>
      <c r="L154" s="14"/>
      <c r="M154" s="12">
        <f t="shared" si="29"/>
        <v>46.376811594202898</v>
      </c>
    </row>
    <row r="155" spans="1:13" x14ac:dyDescent="0.35">
      <c r="A155" s="113" t="s">
        <v>162</v>
      </c>
      <c r="B155" s="113" t="s">
        <v>171</v>
      </c>
      <c r="C155" s="127" t="s">
        <v>18</v>
      </c>
      <c r="D155" s="127" t="s">
        <v>0</v>
      </c>
      <c r="E155" s="133">
        <v>46356</v>
      </c>
      <c r="F155" s="203">
        <f t="shared" ca="1" si="26"/>
        <v>-259</v>
      </c>
      <c r="G155" s="202">
        <v>22776.11</v>
      </c>
      <c r="H155" s="113" t="s">
        <v>1</v>
      </c>
      <c r="I155" s="113" t="s">
        <v>3</v>
      </c>
      <c r="J155" s="204" t="s">
        <v>27</v>
      </c>
      <c r="K155" s="200" t="s">
        <v>38</v>
      </c>
      <c r="L155" s="201"/>
      <c r="M155" s="12">
        <f t="shared" si="29"/>
        <v>6601.7710144927532</v>
      </c>
    </row>
    <row r="156" spans="1:13" s="34" customFormat="1" x14ac:dyDescent="0.35">
      <c r="A156" s="125" t="s">
        <v>159</v>
      </c>
      <c r="B156" s="125" t="s">
        <v>57</v>
      </c>
      <c r="C156" s="187" t="s">
        <v>158</v>
      </c>
      <c r="D156" s="199" t="s">
        <v>88</v>
      </c>
      <c r="E156" s="188">
        <v>46356</v>
      </c>
      <c r="F156" s="131">
        <f t="shared" ca="1" si="26"/>
        <v>-259</v>
      </c>
      <c r="G156" s="189">
        <v>9768.16</v>
      </c>
      <c r="H156" s="125" t="s">
        <v>1</v>
      </c>
      <c r="I156" s="126" t="s">
        <v>3</v>
      </c>
      <c r="J156" s="190" t="s">
        <v>27</v>
      </c>
      <c r="K156" s="191" t="s">
        <v>38</v>
      </c>
      <c r="L156" s="191"/>
      <c r="M156" s="12">
        <f t="shared" si="29"/>
        <v>2831.3507246376812</v>
      </c>
    </row>
    <row r="157" spans="1:13" s="34" customFormat="1" x14ac:dyDescent="0.35">
      <c r="A157" s="8" t="s">
        <v>142</v>
      </c>
      <c r="B157" s="8" t="s">
        <v>120</v>
      </c>
      <c r="C157" s="22" t="s">
        <v>140</v>
      </c>
      <c r="D157" s="22" t="s">
        <v>0</v>
      </c>
      <c r="E157" s="10">
        <v>46356</v>
      </c>
      <c r="F157" s="27">
        <f t="shared" ref="F157:F160" ca="1" si="32">+$B$1-E157</f>
        <v>-259</v>
      </c>
      <c r="G157" s="136">
        <v>371.85</v>
      </c>
      <c r="H157" s="8" t="s">
        <v>1</v>
      </c>
      <c r="I157" s="8" t="s">
        <v>3</v>
      </c>
      <c r="J157" s="32" t="s">
        <v>31</v>
      </c>
      <c r="K157" s="33" t="s">
        <v>38</v>
      </c>
      <c r="L157" s="33"/>
      <c r="M157" s="12">
        <f t="shared" si="29"/>
        <v>107.78260869565217</v>
      </c>
    </row>
    <row r="158" spans="1:13" s="34" customFormat="1" x14ac:dyDescent="0.35">
      <c r="A158" s="8" t="s">
        <v>151</v>
      </c>
      <c r="B158" s="8" t="s">
        <v>120</v>
      </c>
      <c r="C158" s="22" t="s">
        <v>140</v>
      </c>
      <c r="D158" s="22" t="s">
        <v>60</v>
      </c>
      <c r="E158" s="10">
        <v>46265</v>
      </c>
      <c r="F158" s="27">
        <f t="shared" ca="1" si="32"/>
        <v>-168</v>
      </c>
      <c r="G158" s="136">
        <v>300</v>
      </c>
      <c r="H158" s="8" t="s">
        <v>1</v>
      </c>
      <c r="I158" s="8" t="s">
        <v>3</v>
      </c>
      <c r="J158" s="32" t="s">
        <v>31</v>
      </c>
      <c r="K158" s="33" t="s">
        <v>38</v>
      </c>
      <c r="L158" s="33"/>
      <c r="M158" s="12">
        <f t="shared" si="29"/>
        <v>86.956521739130437</v>
      </c>
    </row>
    <row r="159" spans="1:13" s="34" customFormat="1" x14ac:dyDescent="0.35">
      <c r="A159" s="263"/>
      <c r="B159" s="263"/>
      <c r="C159" s="264" t="s">
        <v>213</v>
      </c>
      <c r="D159" s="264" t="s">
        <v>60</v>
      </c>
      <c r="E159" s="265">
        <v>46364</v>
      </c>
      <c r="F159" s="266">
        <f t="shared" ca="1" si="32"/>
        <v>-267</v>
      </c>
      <c r="G159" s="153">
        <v>20000</v>
      </c>
      <c r="H159" s="263" t="s">
        <v>1</v>
      </c>
      <c r="I159" s="263" t="s">
        <v>3</v>
      </c>
      <c r="J159" s="267" t="s">
        <v>47</v>
      </c>
      <c r="K159" s="268" t="s">
        <v>38</v>
      </c>
      <c r="L159" s="268"/>
      <c r="M159" s="12">
        <f t="shared" si="29"/>
        <v>5797.101449275362</v>
      </c>
    </row>
    <row r="160" spans="1:13" s="34" customFormat="1" x14ac:dyDescent="0.35">
      <c r="A160" s="263"/>
      <c r="B160" s="263"/>
      <c r="C160" s="264" t="s">
        <v>213</v>
      </c>
      <c r="D160" s="264" t="s">
        <v>0</v>
      </c>
      <c r="E160" s="265">
        <v>46364</v>
      </c>
      <c r="F160" s="266">
        <f t="shared" ca="1" si="32"/>
        <v>-267</v>
      </c>
      <c r="G160" s="153">
        <v>20000</v>
      </c>
      <c r="H160" s="263" t="s">
        <v>1</v>
      </c>
      <c r="I160" s="263" t="s">
        <v>3</v>
      </c>
      <c r="J160" s="267" t="s">
        <v>47</v>
      </c>
      <c r="K160" s="268" t="s">
        <v>38</v>
      </c>
      <c r="L160" s="268"/>
      <c r="M160" s="12">
        <f t="shared" si="29"/>
        <v>5797.101449275362</v>
      </c>
    </row>
    <row r="161" spans="1:13" s="34" customFormat="1" ht="15" customHeight="1" x14ac:dyDescent="0.35">
      <c r="A161" s="8" t="s">
        <v>183</v>
      </c>
      <c r="B161" s="17" t="s">
        <v>192</v>
      </c>
      <c r="C161" s="208" t="s">
        <v>182</v>
      </c>
      <c r="D161" s="208" t="s">
        <v>41</v>
      </c>
      <c r="E161" s="18">
        <v>46370</v>
      </c>
      <c r="F161" s="209">
        <f t="shared" ca="1" si="26"/>
        <v>-273</v>
      </c>
      <c r="G161" s="210">
        <v>30099.17</v>
      </c>
      <c r="H161" s="17" t="s">
        <v>1</v>
      </c>
      <c r="I161" s="211" t="s">
        <v>4</v>
      </c>
      <c r="J161" s="32" t="s">
        <v>27</v>
      </c>
      <c r="K161" s="33" t="s">
        <v>38</v>
      </c>
      <c r="L161" s="33"/>
      <c r="M161" s="12">
        <f t="shared" si="29"/>
        <v>8724.3971014492745</v>
      </c>
    </row>
    <row r="162" spans="1:13" s="34" customFormat="1" ht="15" customHeight="1" x14ac:dyDescent="0.35">
      <c r="A162" s="193"/>
      <c r="B162" s="193" t="s">
        <v>225</v>
      </c>
      <c r="C162" s="243" t="s">
        <v>144</v>
      </c>
      <c r="D162" s="243" t="s">
        <v>88</v>
      </c>
      <c r="E162" s="244">
        <v>46380</v>
      </c>
      <c r="F162" s="245">
        <f t="shared" ref="F162" ca="1" si="33">+$B$1-E162</f>
        <v>-283</v>
      </c>
      <c r="G162" s="235">
        <v>11778.38</v>
      </c>
      <c r="H162" s="193" t="s">
        <v>1</v>
      </c>
      <c r="I162" s="193" t="s">
        <v>4</v>
      </c>
      <c r="J162" s="246" t="s">
        <v>27</v>
      </c>
      <c r="K162" s="247" t="s">
        <v>38</v>
      </c>
      <c r="L162" s="248"/>
      <c r="M162" s="12">
        <f t="shared" si="29"/>
        <v>3414.0231884057966</v>
      </c>
    </row>
    <row r="163" spans="1:13" x14ac:dyDescent="0.35">
      <c r="A163" s="113" t="s">
        <v>162</v>
      </c>
      <c r="B163" s="113" t="s">
        <v>172</v>
      </c>
      <c r="C163" s="127" t="s">
        <v>18</v>
      </c>
      <c r="D163" s="127" t="s">
        <v>0</v>
      </c>
      <c r="E163" s="133">
        <v>46384</v>
      </c>
      <c r="F163" s="203">
        <f t="shared" ca="1" si="26"/>
        <v>-287</v>
      </c>
      <c r="G163" s="202">
        <v>21842.75</v>
      </c>
      <c r="H163" s="113" t="s">
        <v>1</v>
      </c>
      <c r="I163" s="113" t="s">
        <v>3</v>
      </c>
      <c r="J163" s="204" t="s">
        <v>27</v>
      </c>
      <c r="K163" s="200" t="s">
        <v>38</v>
      </c>
      <c r="L163" s="201"/>
      <c r="M163" s="12">
        <f t="shared" si="29"/>
        <v>6331.231884057971</v>
      </c>
    </row>
    <row r="164" spans="1:13" s="34" customFormat="1" x14ac:dyDescent="0.35">
      <c r="A164" s="125" t="s">
        <v>159</v>
      </c>
      <c r="B164" s="125" t="s">
        <v>58</v>
      </c>
      <c r="C164" s="187" t="s">
        <v>158</v>
      </c>
      <c r="D164" s="199" t="s">
        <v>88</v>
      </c>
      <c r="E164" s="188">
        <v>46386</v>
      </c>
      <c r="F164" s="131">
        <f t="shared" ca="1" si="26"/>
        <v>-289</v>
      </c>
      <c r="G164" s="189">
        <v>9740.58</v>
      </c>
      <c r="H164" s="125" t="s">
        <v>1</v>
      </c>
      <c r="I164" s="126" t="s">
        <v>3</v>
      </c>
      <c r="J164" s="190" t="s">
        <v>27</v>
      </c>
      <c r="K164" s="191" t="s">
        <v>38</v>
      </c>
      <c r="L164" s="191"/>
      <c r="M164" s="12">
        <f t="shared" si="29"/>
        <v>2823.3565217391301</v>
      </c>
    </row>
    <row r="165" spans="1:13" s="34" customFormat="1" ht="15" customHeight="1" x14ac:dyDescent="0.35">
      <c r="A165" s="193"/>
      <c r="B165" s="193" t="s">
        <v>226</v>
      </c>
      <c r="C165" s="243" t="s">
        <v>144</v>
      </c>
      <c r="D165" s="243" t="s">
        <v>88</v>
      </c>
      <c r="E165" s="244">
        <v>46412</v>
      </c>
      <c r="F165" s="245">
        <f t="shared" ca="1" si="26"/>
        <v>-315</v>
      </c>
      <c r="G165" s="235">
        <v>11778.38</v>
      </c>
      <c r="H165" s="193" t="s">
        <v>1</v>
      </c>
      <c r="I165" s="193" t="s">
        <v>4</v>
      </c>
      <c r="J165" s="246" t="s">
        <v>27</v>
      </c>
      <c r="K165" s="247" t="s">
        <v>38</v>
      </c>
      <c r="L165" s="248"/>
      <c r="M165" s="12">
        <f t="shared" si="29"/>
        <v>3414.0231884057966</v>
      </c>
    </row>
    <row r="166" spans="1:13" s="34" customFormat="1" x14ac:dyDescent="0.35">
      <c r="A166" s="36" t="s">
        <v>150</v>
      </c>
      <c r="B166" s="36" t="s">
        <v>149</v>
      </c>
      <c r="C166" s="251" t="s">
        <v>145</v>
      </c>
      <c r="D166" s="251" t="s">
        <v>60</v>
      </c>
      <c r="E166" s="252">
        <v>46429</v>
      </c>
      <c r="F166" s="253">
        <f t="shared" ca="1" si="26"/>
        <v>-332</v>
      </c>
      <c r="G166" s="254">
        <v>160</v>
      </c>
      <c r="H166" s="36" t="s">
        <v>1</v>
      </c>
      <c r="I166" s="36" t="s">
        <v>3</v>
      </c>
      <c r="J166" s="255" t="s">
        <v>145</v>
      </c>
      <c r="K166" s="256" t="s">
        <v>38</v>
      </c>
      <c r="L166" s="256"/>
      <c r="M166" s="12">
        <f t="shared" si="29"/>
        <v>46.376811594202898</v>
      </c>
    </row>
    <row r="167" spans="1:13" s="34" customFormat="1" ht="15" customHeight="1" x14ac:dyDescent="0.35">
      <c r="A167" s="193"/>
      <c r="B167" s="193" t="s">
        <v>227</v>
      </c>
      <c r="C167" s="243" t="s">
        <v>144</v>
      </c>
      <c r="D167" s="243" t="s">
        <v>88</v>
      </c>
      <c r="E167" s="244">
        <v>46442</v>
      </c>
      <c r="F167" s="245">
        <f t="shared" ref="F167" ca="1" si="34">+$B$1-E167</f>
        <v>-345</v>
      </c>
      <c r="G167" s="235">
        <v>11778.38</v>
      </c>
      <c r="H167" s="193" t="s">
        <v>1</v>
      </c>
      <c r="I167" s="193" t="s">
        <v>4</v>
      </c>
      <c r="J167" s="246" t="s">
        <v>27</v>
      </c>
      <c r="K167" s="247" t="s">
        <v>38</v>
      </c>
      <c r="L167" s="248"/>
      <c r="M167" s="12">
        <f t="shared" si="29"/>
        <v>3414.0231884057966</v>
      </c>
    </row>
    <row r="168" spans="1:13" x14ac:dyDescent="0.35">
      <c r="A168" s="8"/>
      <c r="B168" s="8"/>
      <c r="C168" s="9" t="s">
        <v>176</v>
      </c>
      <c r="D168" s="9" t="s">
        <v>41</v>
      </c>
      <c r="E168" s="10">
        <v>46389</v>
      </c>
      <c r="F168" s="27">
        <f t="shared" ca="1" si="26"/>
        <v>-292</v>
      </c>
      <c r="G168" s="137">
        <v>5000</v>
      </c>
      <c r="H168" s="8" t="s">
        <v>1</v>
      </c>
      <c r="I168" s="8" t="s">
        <v>41</v>
      </c>
      <c r="J168" s="13" t="s">
        <v>26</v>
      </c>
      <c r="K168" s="19" t="s">
        <v>38</v>
      </c>
      <c r="L168" s="15"/>
      <c r="M168" s="12">
        <f t="shared" si="29"/>
        <v>1449.2753623188405</v>
      </c>
    </row>
    <row r="169" spans="1:13" x14ac:dyDescent="0.35">
      <c r="A169" s="8"/>
      <c r="B169" s="8"/>
      <c r="C169" s="9" t="s">
        <v>176</v>
      </c>
      <c r="D169" s="9" t="s">
        <v>41</v>
      </c>
      <c r="E169" s="10">
        <v>46420</v>
      </c>
      <c r="F169" s="27">
        <f t="shared" ca="1" si="26"/>
        <v>-323</v>
      </c>
      <c r="G169" s="137">
        <v>5000</v>
      </c>
      <c r="H169" s="8" t="s">
        <v>1</v>
      </c>
      <c r="I169" s="8" t="s">
        <v>41</v>
      </c>
      <c r="J169" s="13" t="s">
        <v>26</v>
      </c>
      <c r="K169" s="19" t="s">
        <v>38</v>
      </c>
      <c r="L169" s="15"/>
      <c r="M169" s="12">
        <f t="shared" si="29"/>
        <v>1449.2753623188405</v>
      </c>
    </row>
    <row r="170" spans="1:13" x14ac:dyDescent="0.35">
      <c r="A170" s="8"/>
      <c r="B170" s="8"/>
      <c r="C170" s="9" t="s">
        <v>176</v>
      </c>
      <c r="D170" s="9" t="s">
        <v>41</v>
      </c>
      <c r="E170" s="10">
        <v>46448</v>
      </c>
      <c r="F170" s="27">
        <f t="shared" ca="1" si="26"/>
        <v>-351</v>
      </c>
      <c r="G170" s="137">
        <v>5000</v>
      </c>
      <c r="H170" s="8" t="s">
        <v>1</v>
      </c>
      <c r="I170" s="8" t="s">
        <v>41</v>
      </c>
      <c r="J170" s="13" t="s">
        <v>26</v>
      </c>
      <c r="K170" s="19" t="s">
        <v>38</v>
      </c>
      <c r="L170" s="15"/>
      <c r="M170" s="12">
        <f t="shared" si="29"/>
        <v>1449.2753623188405</v>
      </c>
    </row>
    <row r="171" spans="1:13" x14ac:dyDescent="0.35">
      <c r="A171" s="8"/>
      <c r="B171" s="8"/>
      <c r="C171" s="9" t="s">
        <v>176</v>
      </c>
      <c r="D171" s="9" t="s">
        <v>0</v>
      </c>
      <c r="E171" s="10">
        <v>46479</v>
      </c>
      <c r="F171" s="27">
        <f t="shared" ca="1" si="26"/>
        <v>-382</v>
      </c>
      <c r="G171" s="137">
        <v>5000</v>
      </c>
      <c r="H171" s="8" t="s">
        <v>1</v>
      </c>
      <c r="I171" s="8" t="s">
        <v>41</v>
      </c>
      <c r="J171" s="13" t="s">
        <v>26</v>
      </c>
      <c r="K171" s="19" t="s">
        <v>38</v>
      </c>
      <c r="L171" s="15"/>
      <c r="M171" s="12">
        <f t="shared" si="29"/>
        <v>1449.2753623188405</v>
      </c>
    </row>
    <row r="172" spans="1:13" x14ac:dyDescent="0.35">
      <c r="A172" s="8"/>
      <c r="B172" s="8"/>
      <c r="C172" s="9" t="s">
        <v>176</v>
      </c>
      <c r="D172" s="9" t="s">
        <v>41</v>
      </c>
      <c r="E172" s="10">
        <v>46509</v>
      </c>
      <c r="F172" s="27">
        <f t="shared" ca="1" si="26"/>
        <v>-412</v>
      </c>
      <c r="G172" s="137">
        <v>5000</v>
      </c>
      <c r="H172" s="8" t="s">
        <v>1</v>
      </c>
      <c r="I172" s="8" t="s">
        <v>41</v>
      </c>
      <c r="J172" s="13" t="s">
        <v>26</v>
      </c>
      <c r="K172" s="19" t="s">
        <v>38</v>
      </c>
      <c r="L172" s="15"/>
      <c r="M172" s="12">
        <f t="shared" si="29"/>
        <v>1449.2753623188405</v>
      </c>
    </row>
    <row r="173" spans="1:13" x14ac:dyDescent="0.35">
      <c r="A173" s="8"/>
      <c r="B173" s="8"/>
      <c r="C173" s="16"/>
      <c r="D173" s="16"/>
      <c r="E173" s="10"/>
      <c r="F173" s="11"/>
      <c r="G173" s="43"/>
      <c r="H173" s="8"/>
      <c r="I173" s="8"/>
      <c r="J173" s="13"/>
      <c r="K173" s="19" t="s">
        <v>38</v>
      </c>
      <c r="L173" s="15"/>
      <c r="M173" s="12">
        <f t="shared" si="29"/>
        <v>0</v>
      </c>
    </row>
    <row r="174" spans="1:13" x14ac:dyDescent="0.35">
      <c r="A174" s="2"/>
      <c r="B174" s="2"/>
      <c r="C174" s="2"/>
      <c r="D174" s="2"/>
      <c r="E174" s="2"/>
      <c r="F174" s="2"/>
      <c r="G174" s="43">
        <f>SUM(G4:G173)</f>
        <v>2576295.5699999989</v>
      </c>
      <c r="H174" s="150"/>
      <c r="I174" s="2"/>
      <c r="J174" s="2"/>
      <c r="M174" s="249">
        <f>SUBTOTAL(9,M4:M173)</f>
        <v>1110320.5436231894</v>
      </c>
    </row>
    <row r="175" spans="1:13" x14ac:dyDescent="0.35">
      <c r="A175" s="2"/>
      <c r="B175" s="2"/>
      <c r="C175" s="2"/>
      <c r="D175" s="2"/>
      <c r="E175" s="2"/>
      <c r="F175" s="2"/>
      <c r="G175" s="149"/>
      <c r="H175" s="2"/>
      <c r="I175" s="2"/>
      <c r="J175" s="2"/>
    </row>
    <row r="176" spans="1:13" x14ac:dyDescent="0.35">
      <c r="A176" s="2"/>
      <c r="B176" s="2"/>
      <c r="C176" s="2"/>
      <c r="D176" s="2"/>
      <c r="E176" s="85"/>
      <c r="F176" s="2"/>
      <c r="G176" s="149"/>
      <c r="H176" s="2"/>
      <c r="I176" s="2"/>
      <c r="J176" s="2"/>
    </row>
    <row r="177" spans="1:10" x14ac:dyDescent="0.35">
      <c r="A177" s="2"/>
      <c r="B177" s="2"/>
      <c r="C177" s="2"/>
      <c r="D177" s="2"/>
      <c r="E177" s="2"/>
      <c r="F177" s="151"/>
      <c r="G177" s="151"/>
      <c r="H177" s="152"/>
      <c r="I177" s="152"/>
      <c r="J177" s="2"/>
    </row>
    <row r="178" spans="1:10" x14ac:dyDescent="0.35">
      <c r="A178" s="2"/>
      <c r="B178" s="2"/>
      <c r="C178" s="2"/>
      <c r="D178" s="2"/>
      <c r="E178" s="85"/>
      <c r="F178" s="151"/>
      <c r="G178" s="151"/>
      <c r="H178" s="152"/>
      <c r="I178" s="152"/>
      <c r="J178" s="2"/>
    </row>
    <row r="179" spans="1:10" x14ac:dyDescent="0.35">
      <c r="A179" s="2"/>
      <c r="B179" s="2"/>
      <c r="C179" s="2"/>
      <c r="D179" s="2"/>
      <c r="E179" s="2"/>
      <c r="F179" s="151"/>
      <c r="G179" s="151"/>
      <c r="H179" s="152"/>
      <c r="I179" s="152"/>
      <c r="J179" s="2"/>
    </row>
    <row r="180" spans="1:10" x14ac:dyDescent="0.35">
      <c r="H180" s="111"/>
      <c r="I180" s="111"/>
    </row>
    <row r="181" spans="1:10" x14ac:dyDescent="0.35">
      <c r="H181" s="110"/>
      <c r="I181" s="110"/>
    </row>
    <row r="182" spans="1:10" x14ac:dyDescent="0.35">
      <c r="H182" s="110"/>
      <c r="I182" s="110"/>
    </row>
    <row r="183" spans="1:10" x14ac:dyDescent="0.35">
      <c r="H183" s="110"/>
      <c r="I183" s="110"/>
    </row>
  </sheetData>
  <autoFilter ref="A3:M173" xr:uid="{00000000-0009-0000-0000-000001000000}"/>
  <mergeCells count="1">
    <mergeCell ref="F1:G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2"/>
  <sheetViews>
    <sheetView topLeftCell="O1" zoomScale="54" zoomScaleNormal="55" workbookViewId="0">
      <selection activeCell="S19" sqref="S19"/>
    </sheetView>
  </sheetViews>
  <sheetFormatPr baseColWidth="10" defaultColWidth="10.9140625" defaultRowHeight="15.5" x14ac:dyDescent="0.35"/>
  <cols>
    <col min="1" max="16384" width="10.9140625" style="25"/>
  </cols>
  <sheetData>
    <row r="32" ht="11.5" customHeight="1" x14ac:dyDescent="0.35"/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BJ171"/>
  <sheetViews>
    <sheetView zoomScale="72" zoomScaleNormal="73" workbookViewId="0">
      <selection activeCell="A5" sqref="A5"/>
    </sheetView>
  </sheetViews>
  <sheetFormatPr baseColWidth="10" defaultRowHeight="15.5" x14ac:dyDescent="0.35"/>
  <cols>
    <col min="1" max="1" width="17" bestFit="1" customWidth="1"/>
    <col min="2" max="2" width="16.1640625" bestFit="1" customWidth="1"/>
    <col min="4" max="4" width="59.08203125" bestFit="1" customWidth="1"/>
    <col min="5" max="5" width="17" customWidth="1"/>
    <col min="6" max="6" width="16.6640625" customWidth="1"/>
    <col min="7" max="7" width="12.08203125" customWidth="1"/>
    <col min="8" max="9" width="17" bestFit="1" customWidth="1"/>
    <col min="10" max="10" width="21.58203125" bestFit="1" customWidth="1"/>
    <col min="11" max="12" width="10.5" bestFit="1" customWidth="1"/>
    <col min="13" max="15" width="9.9140625" bestFit="1" customWidth="1"/>
    <col min="16" max="26" width="11" bestFit="1" customWidth="1"/>
    <col min="27" max="27" width="11.58203125" bestFit="1" customWidth="1"/>
    <col min="28" max="28" width="10.5" bestFit="1" customWidth="1"/>
    <col min="29" max="29" width="9.9140625" bestFit="1" customWidth="1"/>
    <col min="30" max="31" width="10.5" bestFit="1" customWidth="1"/>
    <col min="32" max="40" width="11" bestFit="1" customWidth="1"/>
    <col min="41" max="41" width="11.58203125" bestFit="1" customWidth="1"/>
    <col min="42" max="43" width="10.5" bestFit="1" customWidth="1"/>
    <col min="44" max="53" width="11" bestFit="1" customWidth="1"/>
    <col min="54" max="54" width="11.58203125" bestFit="1" customWidth="1"/>
    <col min="55" max="55" width="10.5" bestFit="1" customWidth="1"/>
    <col min="56" max="60" width="11" bestFit="1" customWidth="1"/>
    <col min="61" max="61" width="10.5" bestFit="1" customWidth="1"/>
    <col min="62" max="63" width="11.6640625" bestFit="1" customWidth="1"/>
    <col min="64" max="64" width="10.5" bestFit="1" customWidth="1"/>
    <col min="65" max="74" width="11" bestFit="1" customWidth="1"/>
    <col min="75" max="75" width="9.9140625" bestFit="1" customWidth="1"/>
    <col min="76" max="76" width="11.58203125" bestFit="1" customWidth="1"/>
    <col min="77" max="77" width="11" bestFit="1" customWidth="1"/>
    <col min="78" max="78" width="10.5" bestFit="1" customWidth="1"/>
    <col min="79" max="83" width="11" bestFit="1" customWidth="1"/>
    <col min="84" max="84" width="10.5" bestFit="1" customWidth="1"/>
    <col min="85" max="89" width="11" bestFit="1" customWidth="1"/>
    <col min="90" max="90" width="10.5" bestFit="1" customWidth="1"/>
    <col min="91" max="96" width="11" bestFit="1" customWidth="1"/>
    <col min="97" max="97" width="10.5" bestFit="1" customWidth="1"/>
    <col min="98" max="98" width="11" bestFit="1" customWidth="1"/>
    <col min="99" max="99" width="9.9140625" bestFit="1" customWidth="1"/>
    <col min="100" max="103" width="11" bestFit="1" customWidth="1"/>
    <col min="104" max="104" width="10.5" bestFit="1" customWidth="1"/>
    <col min="105" max="109" width="11" bestFit="1" customWidth="1"/>
    <col min="110" max="110" width="10.5" bestFit="1" customWidth="1"/>
    <col min="111" max="117" width="11" bestFit="1" customWidth="1"/>
    <col min="118" max="118" width="10.5" bestFit="1" customWidth="1"/>
    <col min="119" max="123" width="11" bestFit="1" customWidth="1"/>
    <col min="124" max="124" width="10.5" bestFit="1" customWidth="1"/>
    <col min="125" max="125" width="13.08203125" bestFit="1" customWidth="1"/>
    <col min="126" max="129" width="11.08203125" bestFit="1" customWidth="1"/>
    <col min="130" max="130" width="11.75" bestFit="1" customWidth="1"/>
    <col min="131" max="131" width="13.33203125" bestFit="1" customWidth="1"/>
    <col min="132" max="139" width="11.08203125" bestFit="1" customWidth="1"/>
    <col min="140" max="140" width="11.75" bestFit="1" customWidth="1"/>
    <col min="141" max="141" width="13.33203125" bestFit="1" customWidth="1"/>
    <col min="142" max="149" width="11.08203125" bestFit="1" customWidth="1"/>
    <col min="150" max="150" width="11.75" bestFit="1" customWidth="1"/>
    <col min="151" max="151" width="13.33203125" bestFit="1" customWidth="1"/>
    <col min="152" max="152" width="10.4140625" bestFit="1" customWidth="1"/>
    <col min="153" max="153" width="13" bestFit="1" customWidth="1"/>
    <col min="154" max="155" width="10.75" bestFit="1" customWidth="1"/>
    <col min="156" max="156" width="10.4140625" bestFit="1" customWidth="1"/>
    <col min="157" max="157" width="13" bestFit="1" customWidth="1"/>
    <col min="158" max="166" width="10.75" bestFit="1" customWidth="1"/>
    <col min="167" max="167" width="10.4140625" bestFit="1" customWidth="1"/>
    <col min="168" max="168" width="13" bestFit="1" customWidth="1"/>
    <col min="169" max="169" width="10.75" bestFit="1" customWidth="1"/>
    <col min="170" max="170" width="10.4140625" bestFit="1" customWidth="1"/>
    <col min="171" max="173" width="10.75" bestFit="1" customWidth="1"/>
    <col min="174" max="174" width="10.4140625" bestFit="1" customWidth="1"/>
    <col min="175" max="177" width="10.75" bestFit="1" customWidth="1"/>
    <col min="178" max="178" width="10.4140625" bestFit="1" customWidth="1"/>
    <col min="179" max="179" width="11" bestFit="1" customWidth="1"/>
    <col min="180" max="180" width="10.4140625" bestFit="1" customWidth="1"/>
    <col min="181" max="181" width="13" bestFit="1" customWidth="1"/>
    <col min="182" max="184" width="10.75" bestFit="1" customWidth="1"/>
    <col min="185" max="185" width="9.4140625" bestFit="1" customWidth="1"/>
    <col min="186" max="186" width="11" bestFit="1" customWidth="1"/>
    <col min="187" max="187" width="10.4140625" bestFit="1" customWidth="1"/>
    <col min="188" max="188" width="13" bestFit="1" customWidth="1"/>
  </cols>
  <sheetData>
    <row r="3" spans="1:2" x14ac:dyDescent="0.35">
      <c r="A3" s="20" t="s">
        <v>21</v>
      </c>
      <c r="B3" t="s">
        <v>36</v>
      </c>
    </row>
    <row r="4" spans="1:2" x14ac:dyDescent="0.35">
      <c r="A4" s="21" t="s">
        <v>246</v>
      </c>
      <c r="B4" s="185">
        <v>282637.05575342465</v>
      </c>
    </row>
    <row r="5" spans="1:2" x14ac:dyDescent="0.35">
      <c r="A5" s="21" t="s">
        <v>248</v>
      </c>
      <c r="B5" s="185">
        <v>264187.07808219182</v>
      </c>
    </row>
    <row r="6" spans="1:2" x14ac:dyDescent="0.35">
      <c r="A6" s="21" t="s">
        <v>268</v>
      </c>
      <c r="B6" s="185">
        <v>158649.03136986305</v>
      </c>
    </row>
    <row r="7" spans="1:2" x14ac:dyDescent="0.35">
      <c r="A7" s="21" t="s">
        <v>285</v>
      </c>
      <c r="B7" s="185">
        <v>82864.75068493151</v>
      </c>
    </row>
    <row r="8" spans="1:2" x14ac:dyDescent="0.35">
      <c r="A8" s="21" t="s">
        <v>22</v>
      </c>
      <c r="B8" s="185">
        <v>788337.91589041112</v>
      </c>
    </row>
    <row r="23" spans="8:9" x14ac:dyDescent="0.35">
      <c r="H23" s="20" t="s">
        <v>21</v>
      </c>
      <c r="I23" t="s">
        <v>36</v>
      </c>
    </row>
    <row r="24" spans="8:9" x14ac:dyDescent="0.35">
      <c r="H24" s="21" t="s">
        <v>28</v>
      </c>
      <c r="I24">
        <v>8437</v>
      </c>
    </row>
    <row r="25" spans="8:9" x14ac:dyDescent="0.35">
      <c r="H25" s="21" t="s">
        <v>32</v>
      </c>
      <c r="I25">
        <v>215086.49</v>
      </c>
    </row>
    <row r="26" spans="8:9" x14ac:dyDescent="0.35">
      <c r="H26" s="21" t="s">
        <v>27</v>
      </c>
      <c r="I26">
        <v>89644.542465753417</v>
      </c>
    </row>
    <row r="27" spans="8:9" x14ac:dyDescent="0.35">
      <c r="H27" s="21" t="s">
        <v>35</v>
      </c>
      <c r="I27">
        <v>1670.1041095890412</v>
      </c>
    </row>
    <row r="28" spans="8:9" x14ac:dyDescent="0.35">
      <c r="H28" s="21" t="s">
        <v>33</v>
      </c>
      <c r="I28">
        <v>3201.6</v>
      </c>
    </row>
    <row r="29" spans="8:9" x14ac:dyDescent="0.35">
      <c r="H29" s="21" t="s">
        <v>29</v>
      </c>
      <c r="I29">
        <v>2961.28</v>
      </c>
    </row>
    <row r="30" spans="8:9" x14ac:dyDescent="0.35">
      <c r="H30" s="21" t="s">
        <v>31</v>
      </c>
      <c r="I30">
        <v>38810.095890410958</v>
      </c>
    </row>
    <row r="31" spans="8:9" x14ac:dyDescent="0.35">
      <c r="H31" s="21" t="s">
        <v>30</v>
      </c>
      <c r="I31">
        <v>43211.040684931504</v>
      </c>
    </row>
    <row r="32" spans="8:9" x14ac:dyDescent="0.35">
      <c r="H32" s="21" t="s">
        <v>34</v>
      </c>
      <c r="I32">
        <v>19868.78</v>
      </c>
    </row>
    <row r="33" spans="8:9" x14ac:dyDescent="0.35">
      <c r="H33" s="21" t="s">
        <v>15</v>
      </c>
      <c r="I33">
        <v>168767.12328767127</v>
      </c>
    </row>
    <row r="34" spans="8:9" x14ac:dyDescent="0.35">
      <c r="H34" s="21" t="s">
        <v>39</v>
      </c>
      <c r="I34">
        <v>5994.4</v>
      </c>
    </row>
    <row r="35" spans="8:9" x14ac:dyDescent="0.35">
      <c r="H35" s="21" t="s">
        <v>180</v>
      </c>
      <c r="I35">
        <v>28459</v>
      </c>
    </row>
    <row r="36" spans="8:9" x14ac:dyDescent="0.35">
      <c r="H36" s="21" t="s">
        <v>203</v>
      </c>
      <c r="I36">
        <v>1552</v>
      </c>
    </row>
    <row r="37" spans="8:9" x14ac:dyDescent="0.35">
      <c r="H37" s="21" t="s">
        <v>113</v>
      </c>
      <c r="I37">
        <v>24.657534246575342</v>
      </c>
    </row>
    <row r="38" spans="8:9" x14ac:dyDescent="0.35">
      <c r="H38" s="21" t="s">
        <v>241</v>
      </c>
      <c r="I38">
        <v>566.4</v>
      </c>
    </row>
    <row r="39" spans="8:9" x14ac:dyDescent="0.35">
      <c r="H39" s="21" t="s">
        <v>145</v>
      </c>
      <c r="I39">
        <v>43.835616438356162</v>
      </c>
    </row>
    <row r="40" spans="8:9" x14ac:dyDescent="0.35">
      <c r="H40" s="21" t="s">
        <v>195</v>
      </c>
      <c r="I40">
        <v>153596.27863013698</v>
      </c>
    </row>
    <row r="41" spans="8:9" x14ac:dyDescent="0.35">
      <c r="H41" s="21" t="s">
        <v>181</v>
      </c>
      <c r="I41">
        <v>73.424657534246577</v>
      </c>
    </row>
    <row r="42" spans="8:9" x14ac:dyDescent="0.35">
      <c r="H42" s="21" t="s">
        <v>251</v>
      </c>
      <c r="I42">
        <v>616.43835616438355</v>
      </c>
    </row>
    <row r="43" spans="8:9" x14ac:dyDescent="0.35">
      <c r="H43" s="21" t="s">
        <v>265</v>
      </c>
      <c r="I43">
        <v>5753.4246575342468</v>
      </c>
    </row>
    <row r="44" spans="8:9" x14ac:dyDescent="0.35">
      <c r="H44" s="21" t="s">
        <v>22</v>
      </c>
      <c r="I44">
        <v>788337.91589041089</v>
      </c>
    </row>
    <row r="74" spans="8:8" x14ac:dyDescent="0.35">
      <c r="H74" s="21"/>
    </row>
    <row r="75" spans="8:8" x14ac:dyDescent="0.35">
      <c r="H75" s="21"/>
    </row>
    <row r="76" spans="8:8" x14ac:dyDescent="0.35">
      <c r="H76" s="21"/>
    </row>
    <row r="77" spans="8:8" x14ac:dyDescent="0.35">
      <c r="H77" s="21"/>
    </row>
    <row r="78" spans="8:8" x14ac:dyDescent="0.35">
      <c r="H78" s="21"/>
    </row>
    <row r="79" spans="8:8" x14ac:dyDescent="0.35">
      <c r="H79" s="21"/>
    </row>
    <row r="80" spans="8:8" x14ac:dyDescent="0.35">
      <c r="H80" s="21"/>
    </row>
    <row r="81" spans="8:8" x14ac:dyDescent="0.35">
      <c r="H81" s="21"/>
    </row>
    <row r="82" spans="8:8" x14ac:dyDescent="0.35">
      <c r="H82" s="21"/>
    </row>
    <row r="83" spans="8:8" x14ac:dyDescent="0.35">
      <c r="H83" s="21"/>
    </row>
    <row r="84" spans="8:8" x14ac:dyDescent="0.35">
      <c r="H84" s="21"/>
    </row>
    <row r="85" spans="8:8" x14ac:dyDescent="0.35">
      <c r="H85" s="21"/>
    </row>
    <row r="86" spans="8:8" x14ac:dyDescent="0.35">
      <c r="H86" s="21"/>
    </row>
    <row r="87" spans="8:8" x14ac:dyDescent="0.35">
      <c r="H87" s="21"/>
    </row>
    <row r="88" spans="8:8" x14ac:dyDescent="0.35">
      <c r="H88" s="21"/>
    </row>
    <row r="89" spans="8:8" x14ac:dyDescent="0.35">
      <c r="H89" s="21"/>
    </row>
    <row r="90" spans="8:8" x14ac:dyDescent="0.35">
      <c r="H90" s="21"/>
    </row>
    <row r="91" spans="8:8" x14ac:dyDescent="0.35">
      <c r="H91" s="21"/>
    </row>
    <row r="92" spans="8:8" x14ac:dyDescent="0.35">
      <c r="H92" s="21"/>
    </row>
    <row r="93" spans="8:8" x14ac:dyDescent="0.35">
      <c r="H93" s="21"/>
    </row>
    <row r="94" spans="8:8" x14ac:dyDescent="0.35">
      <c r="H94" s="21"/>
    </row>
    <row r="95" spans="8:8" x14ac:dyDescent="0.35">
      <c r="H95" s="21"/>
    </row>
    <row r="96" spans="8:8" x14ac:dyDescent="0.35">
      <c r="H96" s="21"/>
    </row>
    <row r="97" spans="8:10" x14ac:dyDescent="0.35">
      <c r="H97" s="21"/>
    </row>
    <row r="98" spans="8:10" x14ac:dyDescent="0.35">
      <c r="H98" s="21"/>
    </row>
    <row r="99" spans="8:10" x14ac:dyDescent="0.35">
      <c r="H99" s="21"/>
    </row>
    <row r="100" spans="8:10" x14ac:dyDescent="0.35">
      <c r="H100" s="21"/>
    </row>
    <row r="101" spans="8:10" x14ac:dyDescent="0.35">
      <c r="H101" s="21"/>
    </row>
    <row r="102" spans="8:10" x14ac:dyDescent="0.35">
      <c r="H102" s="21"/>
    </row>
    <row r="103" spans="8:10" x14ac:dyDescent="0.35">
      <c r="H103" s="21"/>
    </row>
    <row r="104" spans="8:10" x14ac:dyDescent="0.35">
      <c r="H104" s="21"/>
    </row>
    <row r="106" spans="8:10" x14ac:dyDescent="0.35">
      <c r="I106" s="20" t="s">
        <v>21</v>
      </c>
      <c r="J106" t="s">
        <v>36</v>
      </c>
    </row>
    <row r="107" spans="8:10" x14ac:dyDescent="0.35">
      <c r="I107" s="21" t="s">
        <v>4</v>
      </c>
      <c r="J107">
        <v>100017.68547945205</v>
      </c>
    </row>
    <row r="108" spans="8:10" x14ac:dyDescent="0.35">
      <c r="I108" s="21" t="s">
        <v>3</v>
      </c>
      <c r="J108">
        <v>594070.42219178053</v>
      </c>
    </row>
    <row r="109" spans="8:10" x14ac:dyDescent="0.35">
      <c r="I109" s="21" t="s">
        <v>99</v>
      </c>
      <c r="J109">
        <v>11593.974109589042</v>
      </c>
    </row>
    <row r="110" spans="8:10" x14ac:dyDescent="0.35">
      <c r="I110" s="21" t="s">
        <v>13</v>
      </c>
      <c r="J110">
        <v>3570.9041095890411</v>
      </c>
    </row>
    <row r="111" spans="8:10" x14ac:dyDescent="0.35">
      <c r="I111" s="21" t="s">
        <v>37</v>
      </c>
      <c r="J111">
        <v>73493.430000000008</v>
      </c>
    </row>
    <row r="112" spans="8:10" x14ac:dyDescent="0.35">
      <c r="I112" s="21" t="s">
        <v>232</v>
      </c>
      <c r="J112">
        <v>1644.4</v>
      </c>
    </row>
    <row r="113" spans="9:10" x14ac:dyDescent="0.35">
      <c r="I113" s="21" t="s">
        <v>244</v>
      </c>
      <c r="J113">
        <v>3947.1</v>
      </c>
    </row>
    <row r="114" spans="9:10" x14ac:dyDescent="0.35">
      <c r="I114" s="21" t="s">
        <v>22</v>
      </c>
      <c r="J114">
        <v>788337.91589041066</v>
      </c>
    </row>
    <row r="149" spans="1:1" x14ac:dyDescent="0.35">
      <c r="A149" s="21"/>
    </row>
    <row r="150" spans="1:1" x14ac:dyDescent="0.35">
      <c r="A150" s="26"/>
    </row>
    <row r="151" spans="1:1" x14ac:dyDescent="0.35">
      <c r="A151" s="21"/>
    </row>
    <row r="152" spans="1:1" x14ac:dyDescent="0.35">
      <c r="A152" s="26"/>
    </row>
    <row r="153" spans="1:1" x14ac:dyDescent="0.35">
      <c r="A153" s="21"/>
    </row>
    <row r="154" spans="1:1" x14ac:dyDescent="0.35">
      <c r="A154" s="26"/>
    </row>
    <row r="155" spans="1:1" x14ac:dyDescent="0.35">
      <c r="A155" s="21"/>
    </row>
    <row r="156" spans="1:1" x14ac:dyDescent="0.35">
      <c r="A156" s="26"/>
    </row>
    <row r="157" spans="1:1" x14ac:dyDescent="0.35">
      <c r="A157" s="21"/>
    </row>
    <row r="158" spans="1:1" x14ac:dyDescent="0.35">
      <c r="A158" s="26"/>
    </row>
    <row r="159" spans="1:1" x14ac:dyDescent="0.35">
      <c r="A159" s="21"/>
    </row>
    <row r="160" spans="1:1" x14ac:dyDescent="0.35">
      <c r="A160" s="26"/>
    </row>
    <row r="161" spans="1:62" x14ac:dyDescent="0.35">
      <c r="A161" s="21"/>
    </row>
    <row r="162" spans="1:62" x14ac:dyDescent="0.35">
      <c r="A162" s="26"/>
    </row>
    <row r="163" spans="1:62" x14ac:dyDescent="0.35">
      <c r="A163" s="21"/>
      <c r="I163" s="20" t="s">
        <v>36</v>
      </c>
      <c r="J163" s="20" t="s">
        <v>110</v>
      </c>
    </row>
    <row r="164" spans="1:62" x14ac:dyDescent="0.35">
      <c r="A164" s="26"/>
      <c r="J164" t="s">
        <v>246</v>
      </c>
      <c r="AA164" t="s">
        <v>247</v>
      </c>
      <c r="AB164" t="s">
        <v>248</v>
      </c>
      <c r="AO164" t="s">
        <v>249</v>
      </c>
      <c r="AP164" t="s">
        <v>268</v>
      </c>
      <c r="BB164" t="s">
        <v>269</v>
      </c>
      <c r="BC164" t="s">
        <v>285</v>
      </c>
      <c r="BI164" t="s">
        <v>286</v>
      </c>
      <c r="BJ164" t="s">
        <v>22</v>
      </c>
    </row>
    <row r="165" spans="1:62" x14ac:dyDescent="0.35">
      <c r="A165" s="21"/>
      <c r="I165" s="20" t="s">
        <v>21</v>
      </c>
      <c r="J165" s="1">
        <v>46082</v>
      </c>
      <c r="K165" s="1">
        <v>46083</v>
      </c>
      <c r="L165" s="1">
        <v>46084</v>
      </c>
      <c r="M165" s="1">
        <v>46086</v>
      </c>
      <c r="N165" s="1">
        <v>46088</v>
      </c>
      <c r="O165" s="1">
        <v>46089</v>
      </c>
      <c r="P165" s="1">
        <v>46091</v>
      </c>
      <c r="Q165" s="1">
        <v>46094</v>
      </c>
      <c r="R165" s="1">
        <v>46096</v>
      </c>
      <c r="S165" s="1">
        <v>46097</v>
      </c>
      <c r="T165" s="1">
        <v>46101</v>
      </c>
      <c r="U165" s="1">
        <v>46104</v>
      </c>
      <c r="V165" s="1">
        <v>46105</v>
      </c>
      <c r="W165" s="1">
        <v>46108</v>
      </c>
      <c r="X165" s="1">
        <v>46110</v>
      </c>
      <c r="Y165" s="1">
        <v>46111</v>
      </c>
      <c r="Z165" s="1">
        <v>46112</v>
      </c>
      <c r="AB165" s="1">
        <v>46113</v>
      </c>
      <c r="AC165" s="1">
        <v>46118</v>
      </c>
      <c r="AD165" s="1">
        <v>46119</v>
      </c>
      <c r="AE165" s="1">
        <v>46120</v>
      </c>
      <c r="AF165" s="1">
        <v>46125</v>
      </c>
      <c r="AG165" s="1">
        <v>46127</v>
      </c>
      <c r="AH165" s="1">
        <v>46131</v>
      </c>
      <c r="AI165" s="1">
        <v>46134</v>
      </c>
      <c r="AJ165" s="1">
        <v>46136</v>
      </c>
      <c r="AK165" s="1">
        <v>46138</v>
      </c>
      <c r="AL165" s="1">
        <v>46139</v>
      </c>
      <c r="AM165" s="1">
        <v>46140</v>
      </c>
      <c r="AN165" s="1">
        <v>46142</v>
      </c>
      <c r="AP165" s="1">
        <v>46143</v>
      </c>
      <c r="AQ165" s="1">
        <v>46150</v>
      </c>
      <c r="AR165" s="1">
        <v>46155</v>
      </c>
      <c r="AS165" s="1">
        <v>46156</v>
      </c>
      <c r="AT165" s="1">
        <v>46157</v>
      </c>
      <c r="AU165" s="1">
        <v>46160</v>
      </c>
      <c r="AV165" s="1">
        <v>46161</v>
      </c>
      <c r="AW165" s="1">
        <v>46167</v>
      </c>
      <c r="AX165" s="1">
        <v>46169</v>
      </c>
      <c r="AY165" s="1">
        <v>46170</v>
      </c>
      <c r="AZ165" s="1">
        <v>46171</v>
      </c>
      <c r="BA165" s="1">
        <v>46172</v>
      </c>
      <c r="BC165" s="1">
        <v>46174</v>
      </c>
      <c r="BD165" s="1">
        <v>46186</v>
      </c>
      <c r="BE165" s="1">
        <v>46188</v>
      </c>
      <c r="BF165" s="1">
        <v>46197</v>
      </c>
      <c r="BG165" s="1">
        <v>46202</v>
      </c>
      <c r="BH165" s="1">
        <v>46203</v>
      </c>
    </row>
    <row r="166" spans="1:62" x14ac:dyDescent="0.35">
      <c r="A166" s="26"/>
      <c r="I166" s="21" t="s">
        <v>41</v>
      </c>
      <c r="J166" s="30">
        <v>6849.3150684931506</v>
      </c>
      <c r="K166" s="30"/>
      <c r="L166" s="30"/>
      <c r="M166" s="30"/>
      <c r="N166" s="30"/>
      <c r="O166" s="30"/>
      <c r="P166" s="30"/>
      <c r="Q166" s="30">
        <v>8246.3479452054798</v>
      </c>
      <c r="R166" s="30">
        <v>2191.7808219178082</v>
      </c>
      <c r="S166" s="30"/>
      <c r="T166" s="30"/>
      <c r="U166" s="30"/>
      <c r="V166" s="30"/>
      <c r="W166" s="30"/>
      <c r="X166" s="30"/>
      <c r="Y166" s="30"/>
      <c r="Z166" s="30"/>
      <c r="AA166" s="30">
        <v>17287.443835616439</v>
      </c>
      <c r="AB166" s="30">
        <v>6849.3150684931506</v>
      </c>
      <c r="AC166" s="30"/>
      <c r="AD166" s="30"/>
      <c r="AE166" s="30"/>
      <c r="AF166" s="30">
        <v>8246.3479452054798</v>
      </c>
      <c r="AG166" s="30">
        <v>2191.7808219178082</v>
      </c>
      <c r="AH166" s="30"/>
      <c r="AI166" s="30"/>
      <c r="AJ166" s="30"/>
      <c r="AK166" s="30"/>
      <c r="AL166" s="30"/>
      <c r="AM166" s="30"/>
      <c r="AN166" s="30"/>
      <c r="AO166" s="30">
        <v>17287.443835616439</v>
      </c>
      <c r="AP166" s="30">
        <v>6849.3150684931506</v>
      </c>
      <c r="AQ166" s="30"/>
      <c r="AR166" s="30">
        <v>8246.3479452054798</v>
      </c>
      <c r="AS166" s="30"/>
      <c r="AT166" s="30">
        <v>2191.7808219178082</v>
      </c>
      <c r="AU166" s="30"/>
      <c r="AV166" s="30"/>
      <c r="AW166" s="30"/>
      <c r="AX166" s="30"/>
      <c r="AY166" s="30"/>
      <c r="AZ166" s="30"/>
      <c r="BA166" s="30"/>
      <c r="BB166" s="30">
        <v>17287.443835616439</v>
      </c>
      <c r="BC166" s="30">
        <v>6849.3150684931506</v>
      </c>
      <c r="BD166" s="30">
        <v>8246.3479452054798</v>
      </c>
      <c r="BE166" s="30">
        <v>2191.7808219178082</v>
      </c>
      <c r="BF166" s="30"/>
      <c r="BG166" s="30"/>
      <c r="BH166" s="30"/>
      <c r="BI166" s="30">
        <v>17287.443835616439</v>
      </c>
      <c r="BJ166" s="30">
        <v>69149.775342465771</v>
      </c>
    </row>
    <row r="167" spans="1:62" x14ac:dyDescent="0.35">
      <c r="A167" s="21"/>
      <c r="I167" s="21" t="s">
        <v>60</v>
      </c>
      <c r="J167" s="30">
        <v>6849.3150684931506</v>
      </c>
      <c r="K167" s="30">
        <v>28459</v>
      </c>
      <c r="L167" s="30">
        <v>619.5</v>
      </c>
      <c r="M167" s="30"/>
      <c r="N167" s="30"/>
      <c r="O167" s="30">
        <v>566.4</v>
      </c>
      <c r="P167" s="30">
        <v>1316.88</v>
      </c>
      <c r="Q167" s="30">
        <v>1172.8520547945204</v>
      </c>
      <c r="R167" s="30">
        <v>31908.154657534247</v>
      </c>
      <c r="S167" s="30">
        <v>1560.8465753424657</v>
      </c>
      <c r="T167" s="30"/>
      <c r="U167" s="30">
        <v>616.43835616438355</v>
      </c>
      <c r="V167" s="30"/>
      <c r="W167" s="30"/>
      <c r="X167" s="30"/>
      <c r="Y167" s="30"/>
      <c r="Z167" s="30"/>
      <c r="AA167" s="30">
        <v>73069.386712328764</v>
      </c>
      <c r="AB167" s="30">
        <v>6849.3150684931506</v>
      </c>
      <c r="AC167" s="30">
        <v>3947.1</v>
      </c>
      <c r="AD167" s="30">
        <v>51089.698630136983</v>
      </c>
      <c r="AE167" s="30"/>
      <c r="AF167" s="30"/>
      <c r="AG167" s="30">
        <v>7052.144657534247</v>
      </c>
      <c r="AH167" s="30">
        <v>1670.1041095890412</v>
      </c>
      <c r="AI167" s="30">
        <v>6499.86</v>
      </c>
      <c r="AJ167" s="30"/>
      <c r="AK167" s="30">
        <v>43.835616438356162</v>
      </c>
      <c r="AL167" s="30">
        <v>3044.4</v>
      </c>
      <c r="AM167" s="30"/>
      <c r="AN167" s="30"/>
      <c r="AO167" s="30">
        <v>80196.458082191777</v>
      </c>
      <c r="AP167" s="30">
        <v>6849.3150684931506</v>
      </c>
      <c r="AQ167" s="30">
        <v>1644.4</v>
      </c>
      <c r="AR167" s="30"/>
      <c r="AS167" s="30"/>
      <c r="AT167" s="30">
        <v>5753.4246575342468</v>
      </c>
      <c r="AU167" s="30">
        <v>9097.8700000000008</v>
      </c>
      <c r="AV167" s="30">
        <v>826</v>
      </c>
      <c r="AW167" s="30"/>
      <c r="AX167" s="30"/>
      <c r="AY167" s="30"/>
      <c r="AZ167" s="30">
        <v>82.191780821917817</v>
      </c>
      <c r="BA167" s="30"/>
      <c r="BB167" s="30">
        <v>24253.201506849317</v>
      </c>
      <c r="BC167" s="30">
        <v>6849.3150684931506</v>
      </c>
      <c r="BD167" s="30"/>
      <c r="BE167" s="30">
        <v>5753.4246575342468</v>
      </c>
      <c r="BF167" s="30"/>
      <c r="BG167" s="30"/>
      <c r="BH167" s="30"/>
      <c r="BI167" s="30">
        <v>12602.739726027397</v>
      </c>
      <c r="BJ167" s="30">
        <v>190121.78602739726</v>
      </c>
    </row>
    <row r="168" spans="1:62" x14ac:dyDescent="0.35">
      <c r="A168" s="26"/>
      <c r="I168" s="21" t="s">
        <v>88</v>
      </c>
      <c r="J168" s="30">
        <v>4383.5616438356165</v>
      </c>
      <c r="K168" s="30"/>
      <c r="L168" s="30"/>
      <c r="M168" s="30"/>
      <c r="N168" s="30">
        <v>2175</v>
      </c>
      <c r="O168" s="30"/>
      <c r="P168" s="30"/>
      <c r="Q168" s="30"/>
      <c r="R168" s="30">
        <v>3561.6438356164385</v>
      </c>
      <c r="S168" s="30"/>
      <c r="T168" s="30"/>
      <c r="U168" s="30"/>
      <c r="V168" s="30">
        <v>3226.953424657534</v>
      </c>
      <c r="W168" s="30">
        <v>54124.480000000003</v>
      </c>
      <c r="X168" s="30"/>
      <c r="Y168" s="30">
        <v>2676.2082191780823</v>
      </c>
      <c r="Z168" s="30"/>
      <c r="AA168" s="30">
        <v>70147.847123287676</v>
      </c>
      <c r="AB168" s="30">
        <v>4383.5616438356165</v>
      </c>
      <c r="AC168" s="30"/>
      <c r="AD168" s="30"/>
      <c r="AE168" s="30"/>
      <c r="AF168" s="30"/>
      <c r="AG168" s="30">
        <v>3561.6438356164385</v>
      </c>
      <c r="AH168" s="30"/>
      <c r="AI168" s="30"/>
      <c r="AJ168" s="30">
        <v>30271.843424657534</v>
      </c>
      <c r="AK168" s="30"/>
      <c r="AL168" s="30"/>
      <c r="AM168" s="30"/>
      <c r="AN168" s="30">
        <v>44497.058219178078</v>
      </c>
      <c r="AO168" s="30">
        <v>82714.107123287657</v>
      </c>
      <c r="AP168" s="30">
        <v>4383.5616438356165</v>
      </c>
      <c r="AQ168" s="30"/>
      <c r="AR168" s="30"/>
      <c r="AS168" s="30">
        <v>27239.17</v>
      </c>
      <c r="AT168" s="30">
        <v>5205.4794520547948</v>
      </c>
      <c r="AU168" s="30"/>
      <c r="AV168" s="30"/>
      <c r="AW168" s="30">
        <v>3226.953424657534</v>
      </c>
      <c r="AX168" s="30"/>
      <c r="AY168" s="30"/>
      <c r="AZ168" s="30"/>
      <c r="BA168" s="30">
        <v>2676.2082191780823</v>
      </c>
      <c r="BB168" s="30">
        <v>42731.372739726023</v>
      </c>
      <c r="BC168" s="30">
        <v>4383.5616438356165</v>
      </c>
      <c r="BD168" s="30"/>
      <c r="BE168" s="30">
        <v>3561.6438356164385</v>
      </c>
      <c r="BF168" s="30">
        <v>3226.953424657534</v>
      </c>
      <c r="BG168" s="30"/>
      <c r="BH168" s="30">
        <v>2676.2082191780823</v>
      </c>
      <c r="BI168" s="30">
        <v>13848.367123287673</v>
      </c>
      <c r="BJ168" s="30">
        <v>209441.69410958904</v>
      </c>
    </row>
    <row r="169" spans="1:62" x14ac:dyDescent="0.35">
      <c r="A169" s="21"/>
      <c r="I169" s="21" t="s">
        <v>0</v>
      </c>
      <c r="J169" s="30">
        <v>6849.3150684931506</v>
      </c>
      <c r="K169" s="30">
        <v>6576.6164383561645</v>
      </c>
      <c r="L169" s="30">
        <v>64857.1</v>
      </c>
      <c r="M169" s="30">
        <v>98.082191780821915</v>
      </c>
      <c r="N169" s="30"/>
      <c r="O169" s="30"/>
      <c r="P169" s="30"/>
      <c r="Q169" s="30">
        <v>3570.9041095890411</v>
      </c>
      <c r="R169" s="30">
        <v>5753.4246575342468</v>
      </c>
      <c r="S169" s="30"/>
      <c r="T169" s="30">
        <v>7557.1</v>
      </c>
      <c r="U169" s="30"/>
      <c r="V169" s="30"/>
      <c r="W169" s="30"/>
      <c r="X169" s="30">
        <v>5994.4</v>
      </c>
      <c r="Y169" s="30">
        <v>6269.7369863013701</v>
      </c>
      <c r="Z169" s="30">
        <v>14605.698630136987</v>
      </c>
      <c r="AA169" s="30">
        <v>122132.37808219178</v>
      </c>
      <c r="AB169" s="30">
        <v>6849.3150684931506</v>
      </c>
      <c r="AC169" s="30"/>
      <c r="AD169" s="30"/>
      <c r="AE169" s="30">
        <v>51253.29</v>
      </c>
      <c r="AF169" s="30"/>
      <c r="AG169" s="30">
        <v>5753.4246575342468</v>
      </c>
      <c r="AH169" s="30"/>
      <c r="AI169" s="30"/>
      <c r="AJ169" s="30"/>
      <c r="AK169" s="30"/>
      <c r="AL169" s="30">
        <v>8366.39</v>
      </c>
      <c r="AM169" s="30">
        <v>6290.7589041095889</v>
      </c>
      <c r="AN169" s="30">
        <v>5475.8904109589039</v>
      </c>
      <c r="AO169" s="30">
        <v>83989.069041095907</v>
      </c>
      <c r="AP169" s="30">
        <v>6849.3150684931506</v>
      </c>
      <c r="AQ169" s="30">
        <v>51253.29</v>
      </c>
      <c r="AR169" s="30"/>
      <c r="AS169" s="30"/>
      <c r="AT169" s="30">
        <v>7945.2054794520554</v>
      </c>
      <c r="AU169" s="30"/>
      <c r="AV169" s="30"/>
      <c r="AW169" s="30"/>
      <c r="AX169" s="30">
        <v>101.87671232876713</v>
      </c>
      <c r="AY169" s="30">
        <v>6309.5178082191787</v>
      </c>
      <c r="AZ169" s="30"/>
      <c r="BA169" s="30"/>
      <c r="BB169" s="30">
        <v>72459.20506849316</v>
      </c>
      <c r="BC169" s="30">
        <v>6849.3150684931506</v>
      </c>
      <c r="BD169" s="30"/>
      <c r="BE169" s="30">
        <v>5753.4246575342468</v>
      </c>
      <c r="BF169" s="30"/>
      <c r="BG169" s="30">
        <v>20096.438356164384</v>
      </c>
      <c r="BH169" s="30">
        <v>6427.0219178082198</v>
      </c>
      <c r="BI169" s="30">
        <v>39126.200000000004</v>
      </c>
      <c r="BJ169" s="30">
        <v>317706.85219178075</v>
      </c>
    </row>
    <row r="170" spans="1:62" x14ac:dyDescent="0.35">
      <c r="A170" s="26"/>
      <c r="I170" s="21" t="s">
        <v>114</v>
      </c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>
        <v>1917.8082191780823</v>
      </c>
      <c r="AU170" s="30"/>
      <c r="AV170" s="30"/>
      <c r="AW170" s="30"/>
      <c r="AX170" s="30"/>
      <c r="AY170" s="30"/>
      <c r="AZ170" s="30"/>
      <c r="BA170" s="30"/>
      <c r="BB170" s="30">
        <v>1917.8082191780823</v>
      </c>
      <c r="BC170" s="30"/>
      <c r="BD170" s="30"/>
      <c r="BE170" s="30"/>
      <c r="BF170" s="30"/>
      <c r="BG170" s="30"/>
      <c r="BH170" s="30"/>
      <c r="BI170" s="30"/>
      <c r="BJ170" s="30">
        <v>1917.8082191780823</v>
      </c>
    </row>
    <row r="171" spans="1:62" x14ac:dyDescent="0.35">
      <c r="A171" s="21"/>
      <c r="I171" s="21" t="s">
        <v>22</v>
      </c>
      <c r="J171" s="30">
        <v>24931.506849315068</v>
      </c>
      <c r="K171" s="30">
        <v>35035.616438356163</v>
      </c>
      <c r="L171" s="30">
        <v>65476.6</v>
      </c>
      <c r="M171" s="30">
        <v>98.082191780821915</v>
      </c>
      <c r="N171" s="30">
        <v>2175</v>
      </c>
      <c r="O171" s="30">
        <v>566.4</v>
      </c>
      <c r="P171" s="30">
        <v>1316.88</v>
      </c>
      <c r="Q171" s="30">
        <v>12990.104109589041</v>
      </c>
      <c r="R171" s="30">
        <v>43415.003972602739</v>
      </c>
      <c r="S171" s="30">
        <v>1560.8465753424657</v>
      </c>
      <c r="T171" s="30">
        <v>7557.1</v>
      </c>
      <c r="U171" s="30">
        <v>616.43835616438355</v>
      </c>
      <c r="V171" s="30">
        <v>3226.953424657534</v>
      </c>
      <c r="W171" s="30">
        <v>54124.480000000003</v>
      </c>
      <c r="X171" s="30">
        <v>5994.4</v>
      </c>
      <c r="Y171" s="30">
        <v>8945.9452054794529</v>
      </c>
      <c r="Z171" s="30">
        <v>14605.698630136987</v>
      </c>
      <c r="AA171" s="30">
        <v>282637.05575342465</v>
      </c>
      <c r="AB171" s="30">
        <v>24931.506849315068</v>
      </c>
      <c r="AC171" s="30">
        <v>3947.1</v>
      </c>
      <c r="AD171" s="30">
        <v>51089.698630136983</v>
      </c>
      <c r="AE171" s="30">
        <v>51253.29</v>
      </c>
      <c r="AF171" s="30">
        <v>8246.3479452054798</v>
      </c>
      <c r="AG171" s="30">
        <v>18558.993972602741</v>
      </c>
      <c r="AH171" s="30">
        <v>1670.1041095890412</v>
      </c>
      <c r="AI171" s="30">
        <v>6499.86</v>
      </c>
      <c r="AJ171" s="30">
        <v>30271.843424657534</v>
      </c>
      <c r="AK171" s="30">
        <v>43.835616438356162</v>
      </c>
      <c r="AL171" s="30">
        <v>11410.789999999999</v>
      </c>
      <c r="AM171" s="30">
        <v>6290.7589041095889</v>
      </c>
      <c r="AN171" s="30">
        <v>49972.948630136983</v>
      </c>
      <c r="AO171" s="30">
        <v>264187.07808219176</v>
      </c>
      <c r="AP171" s="30">
        <v>24931.506849315068</v>
      </c>
      <c r="AQ171" s="30">
        <v>52897.69</v>
      </c>
      <c r="AR171" s="30">
        <v>8246.3479452054798</v>
      </c>
      <c r="AS171" s="30">
        <v>27239.17</v>
      </c>
      <c r="AT171" s="30">
        <v>23013.698630136987</v>
      </c>
      <c r="AU171" s="30">
        <v>9097.8700000000008</v>
      </c>
      <c r="AV171" s="30">
        <v>826</v>
      </c>
      <c r="AW171" s="30">
        <v>3226.953424657534</v>
      </c>
      <c r="AX171" s="30">
        <v>101.87671232876713</v>
      </c>
      <c r="AY171" s="30">
        <v>6309.5178082191787</v>
      </c>
      <c r="AZ171" s="30">
        <v>82.191780821917817</v>
      </c>
      <c r="BA171" s="30">
        <v>2676.2082191780823</v>
      </c>
      <c r="BB171" s="30">
        <v>158649.03136986302</v>
      </c>
      <c r="BC171" s="30">
        <v>24931.506849315068</v>
      </c>
      <c r="BD171" s="30">
        <v>8246.3479452054798</v>
      </c>
      <c r="BE171" s="30">
        <v>17260.273972602739</v>
      </c>
      <c r="BF171" s="30">
        <v>3226.953424657534</v>
      </c>
      <c r="BG171" s="30">
        <v>20096.438356164384</v>
      </c>
      <c r="BH171" s="30">
        <v>9103.2301369863017</v>
      </c>
      <c r="BI171" s="30">
        <v>82864.750684931525</v>
      </c>
      <c r="BJ171" s="30">
        <v>788337.91589041101</v>
      </c>
    </row>
  </sheetData>
  <pageMargins left="0.7" right="0.7" top="0.75" bottom="0.75" header="0.3" footer="0.3"/>
  <pageSetup paperSize="9" orientation="portrait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SALDOS</vt:lpstr>
      <vt:lpstr>DATA ORIGINAL</vt:lpstr>
      <vt:lpstr>DASHBOARD PAGOS</vt:lpstr>
      <vt:lpstr>DATA TABLA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Maykel Blas</dc:creator>
  <cp:lastModifiedBy>Maykel Blas</cp:lastModifiedBy>
  <cp:lastPrinted>2025-04-14T15:02:51Z</cp:lastPrinted>
  <dcterms:created xsi:type="dcterms:W3CDTF">2020-01-16T14:58:37Z</dcterms:created>
  <dcterms:modified xsi:type="dcterms:W3CDTF">2026-03-16T16:16:26Z</dcterms:modified>
</cp:coreProperties>
</file>